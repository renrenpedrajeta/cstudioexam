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735065da6bc4e53" /></Relationships>
</file>

<file path=xl/workbook.xml><?xml version="1.0" encoding="utf-8"?>
<x:workbook xmlns:x="http://schemas.openxmlformats.org/spreadsheetml/2006/main">
  <x:sheets>
    <x:sheet xmlns:r="http://schemas.openxmlformats.org/officeDocument/2006/relationships" name="Summary" sheetId="1" r:id="R9cb4968148534111"/>
    <x:sheet xmlns:r="http://schemas.openxmlformats.org/officeDocument/2006/relationships" name="Cases" sheetId="2" r:id="Rc163b3b2ebc14c69"/>
    <x:sheet xmlns:r="http://schemas.openxmlformats.org/officeDocument/2006/relationships" name="Runs" sheetId="3" r:id="Ra945be918b6a43b2"/>
    <x:sheet xmlns:r="http://schemas.openxmlformats.org/officeDocument/2006/relationships" name="Issues" sheetId="4" r:id="R0bd79d43ef334985"/>
    <x:sheet xmlns:r="http://schemas.openxmlformats.org/officeDocument/2006/relationships" name="Changes" sheetId="5" r:id="R30f9c4dc7524410d"/>
    <x:sheet xmlns:r="http://schemas.openxmlformats.org/officeDocument/2006/relationships" name="Method" sheetId="6" r:id="R922293e846834319"/>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0"/>
    <x:numFmt numFmtId="202" formatCode="0.0%"/>
  </x:numFmts>
  <x:fonts count="7">
    <x:font>
      <x:sz val="11"/>
      <x:name val="Carlito"/>
    </x:font>
    <x:font>
      <x:sz val="11"/>
      <x:color rgb="FF263244"/>
      <x:name val="Arial"/>
    </x:font>
    <x:font>
      <x:b/>
      <x:sz val="17"/>
      <x:color rgb="FF263244"/>
      <x:name val="Arial"/>
    </x:font>
    <x:font>
      <x:i/>
      <x:sz val="10"/>
      <x:color rgb="FF52616F"/>
      <x:name val="Arial"/>
    </x:font>
    <x:font>
      <x:b/>
      <x:sz val="11"/>
      <x:color rgb="FFFFFFFF"/>
      <x:name val="Arial"/>
    </x:font>
    <x:font>
      <x:b/>
      <x:sz val="11"/>
      <x:color rgb="FF9C2D22"/>
      <x:name val="Arial"/>
    </x:font>
    <x:font>
      <x:b/>
      <x:sz val="11"/>
      <x:color rgb="FF263244"/>
      <x:name val="Arial"/>
    </x:font>
  </x:fonts>
  <x:fills count="4">
    <x:fill>
      <x:patternFill patternType="none"/>
    </x:fill>
    <x:fill>
      <x:patternFill patternType="gray125"/>
    </x:fill>
    <x:fill>
      <x:patternFill patternType="solid">
        <x:fgColor rgb="FF243B53"/>
      </x:patternFill>
    </x:fill>
    <x:fill>
      <x:patternFill patternType="solid">
        <x:fgColor rgb="FFF5F7FA"/>
      </x:patternFill>
    </x:fill>
  </x:fills>
  <x:borders count="2">
    <x:border/>
    <x:border>
      <x:bottom style="thin">
        <x:color rgb="FFCBD5E1"/>
      </x:bottom>
    </x:border>
  </x:borders>
  <x:cellStyleXfs count="1">
    <x:xf numFmtId="0" fontId="0" fillId="0" borderId="0"/>
  </x:cellStyleXfs>
  <x:cellXfs count="2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0"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2" fontId="1" fillId="0" borderId="0" xfId="0" applyNumberFormat="1" applyFont="1" applyFill="1" applyBorder="1" applyAlignment="1">
      <x:alignment vertical="center" wrapText="1"/>
    </x:xf>
    <x:xf numFmtId="201" fontId="1" fillId="0" borderId="0" xfId="0" applyNumberFormat="1" applyFont="1" applyFill="1" applyBorder="1" applyAlignment="1">
      <x:alignment horizontal="center" vertical="center" wrapText="1"/>
    </x:xf>
    <x:xf numFmtId="202" fontId="1" fillId="0" borderId="0" xfId="0" applyNumberFormat="1" applyFont="1" applyFill="1" applyBorder="1" applyAlignment="1">
      <x:alignment horizontal="center" vertical="center" wrapText="1"/>
    </x:xf>
    <x:xf numFmtId="0" fontId="1" fillId="0" borderId="0" xfId="0" applyNumberFormat="1" applyFont="1" applyFill="1" applyBorder="1" applyAlignment="1">
      <x:alignment horizontal="center" vertical="center" wrapText="1"/>
    </x:xf>
    <x:xf numFmtId="0" fontId="1" fillId="0" borderId="0" xfId="0" applyNumberFormat="1" applyFont="1" applyFill="1" applyBorder="1" applyAlignment="1">
      <x:alignment horizontal="center" vertical="top" wrapText="1"/>
    </x:xf>
    <x:xf numFmtId="0" fontId="1" fillId="3" borderId="0" xfId="0" applyNumberFormat="1" applyFont="1" applyFill="1" applyBorder="1" applyAlignment="1">
      <x:alignment horizontal="center" vertical="top" wrapText="1"/>
    </x:xf>
    <x:xf numFmtId="202" fontId="5" fillId="0" borderId="0" xfId="0" applyNumberFormat="1" applyFont="1" applyFill="1" applyBorder="1" applyAlignment="1">
      <x:alignment horizontal="center" vertical="center" wrapText="1"/>
    </x:xf>
    <x:xf numFmtId="201" fontId="5" fillId="0" borderId="0" xfId="0" applyNumberFormat="1" applyFont="1" applyFill="1" applyBorder="1" applyAlignment="1">
      <x:alignment horizontal="center" vertical="center" wrapText="1"/>
    </x:xf>
    <x:xf numFmtId="0" fontId="6" fillId="0" borderId="0" xfId="0" applyNumberFormat="1" applyFont="1" applyFill="1" applyBorder="1"/>
  </x:cellXfs>
  <x:cellStyles count="1">
    <x:cellStyle name="Normal" xfId="0"/>
  </x:cellStyles>
  <x:dxfs count="4">
    <x:dxf>
      <x:font>
        <x:color rgb="FF9C2D22"/>
      </x:font>
      <x:fill>
        <x:patternFill patternType="solid">
          <x:bgColor rgb="FFFCE8E6"/>
        </x:patternFill>
      </x:fill>
    </x:dxf>
    <x:dxf>
      <x:fill>
        <x:patternFill patternType="solid">
          <x:bgColor rgb="FFFFF3CD"/>
        </x:patternFill>
      </x:fill>
    </x:dxf>
    <x:dxf>
      <x:font>
        <x:color rgb="FF9C2D22"/>
      </x:font>
      <x:fill>
        <x:patternFill patternType="solid">
          <x:bgColor rgb="FFFCE8E6"/>
        </x:patternFill>
      </x:fill>
    </x:dxf>
    <x:dxf>
      <x:fill>
        <x:patternFill patternType="solid">
          <x:bgColor rgb="FFFFF3C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b40dd58320c490a" /><Relationship Type="http://schemas.openxmlformats.org/officeDocument/2006/relationships/theme" Target="/xl/theme/theme1.xml" Id="R2c2816ca11394c94" /><Relationship Type="http://schemas.openxmlformats.org/officeDocument/2006/relationships/sharedStrings" Target="/xl/sharedStrings.xml" Id="R7a4fe67ff6f248ef" /><Relationship Type="http://schemas.openxmlformats.org/officeDocument/2006/relationships/worksheet" Target="/xl/worksheets/sheet1.xml" Id="R9cb4968148534111" /><Relationship Type="http://schemas.openxmlformats.org/officeDocument/2006/relationships/worksheet" Target="/xl/worksheets/sheet2.xml" Id="Rc163b3b2ebc14c69" /><Relationship Type="http://schemas.openxmlformats.org/officeDocument/2006/relationships/worksheet" Target="/xl/worksheets/sheet3.xml" Id="Ra945be918b6a43b2" /><Relationship Type="http://schemas.openxmlformats.org/officeDocument/2006/relationships/worksheet" Target="/xl/worksheets/sheet4.xml" Id="R0bd79d43ef334985" /><Relationship Type="http://schemas.openxmlformats.org/officeDocument/2006/relationships/worksheet" Target="/xl/worksheets/sheet5.xml" Id="R30f9c4dc7524410d" /><Relationship Type="http://schemas.openxmlformats.org/officeDocument/2006/relationships/worksheet" Target="/xl/worksheets/sheet6.xml" Id="R922293e846834319" /></Relationships>
</file>

<file path=xl/tables/table1.xml><?xml version="1.0" encoding="utf-8"?>
<x:table xmlns:x="http://schemas.openxmlformats.org/spreadsheetml/2006/main" id="1" name="CasesData" displayName="CasesData" ref="A4:J40" headerRowCount="1" totalsRowCount="0" totalsRowShown="0">
  <x:tableColumns count="10">
    <x:tableColumn id="1" name="Case"/>
    <x:tableColumn id="2" name="Category"/>
    <x:tableColumn id="3" name="Recipe ID"/>
    <x:tableColumn id="4" name="Review text"/>
    <x:tableColumn id="5" name="Expected result"/>
    <x:tableColumn id="6" name="Expected status"/>
    <x:tableColumn id="7" name="Actual status"/>
    <x:tableColumn id="8" name="Assessment"/>
    <x:tableColumn id="9" name="Issue"/>
    <x:tableColumn id="10" name="Observed result"/>
  </x:tableColumns>
  <x:tableStyleInfo name="TableStyleMedium2" showFirstColumn="0" showLastColumn="0" showRowStripes="1" showColumnStripes="0"/>
</x:table>
</file>

<file path=xl/tables/table2.xml><?xml version="1.0" encoding="utf-8"?>
<x:table xmlns:x="http://schemas.openxmlformats.org/spreadsheetml/2006/main" id="2" name="RunsData" displayName="RunsData" ref="A4:N60" headerRowCount="1" totalsRowCount="0" totalsRowShown="0">
  <x:tableColumns count="14">
    <x:tableColumn id="1" name="Case"/>
    <x:tableColumn id="2" name="Run"/>
    <x:tableColumn id="3" name="Expected status"/>
    <x:tableColumn id="4" name="Actual status"/>
    <x:tableColumn id="5" name="Assessment"/>
    <x:tableColumn id="6" name="Severity"/>
    <x:tableColumn id="7" name="Issue"/>
    <x:tableColumn id="8" name="HTTP"/>
    <x:tableColumn id="9" name="Seconds"/>
    <x:tableColumn id="10" name="Recorded planning calls"/>
    <x:tableColumn id="11" name="Recorded planning tokens"/>
    <x:tableColumn id="12" name="Repair used"/>
    <x:tableColumn id="13" name="Observed result"/>
    <x:tableColumn id="14" name="Validation message"/>
  </x:tableColumns>
  <x:tableStyleInfo name="TableStyleMedium2" showFirstColumn="0" showLastColumn="0" showRowStripes="1" showColumnStripes="0"/>
</x:table>
</file>

<file path=xl/tables/table3.xml><?xml version="1.0" encoding="utf-8"?>
<x:table xmlns:x="http://schemas.openxmlformats.org/spreadsheetml/2006/main" id="3" name="IssuesData" displayName="IssuesData" ref="A4:H11" headerRowCount="1" totalsRowCount="0" totalsRowShown="0">
  <x:tableColumns count="8">
    <x:tableColumn id="1" name="Priority"/>
    <x:tableColumn id="2" name="Issue"/>
    <x:tableColumn id="3" name="Severity"/>
    <x:tableColumn id="4" name="Problem"/>
    <x:tableColumn id="5" name="Evidence cases"/>
    <x:tableColumn id="6" name="Finding"/>
    <x:tableColumn id="7" name="Proposed fix"/>
    <x:tableColumn id="8" name="Closure check"/>
  </x:tableColumns>
  <x:tableStyleInfo name="TableStyleMedium2" showFirstColumn="0" showLastColumn="0" showRowStripes="1" showColumnStripes="0"/>
</x:table>
</file>

<file path=xl/tables/table4.xml><?xml version="1.0" encoding="utf-8"?>
<x:table xmlns:x="http://schemas.openxmlformats.org/spreadsheetml/2006/main" id="4" name="ChangesData" displayName="ChangesData" ref="A4:F97" headerRowCount="1" totalsRowCount="0" totalsRowShown="0">
  <x:tableColumns count="6">
    <x:tableColumn id="1" name="Case"/>
    <x:tableColumn id="2" name="Run"/>
    <x:tableColumn id="3" name="Field"/>
    <x:tableColumn id="4" name="Operation"/>
    <x:tableColumn id="5" name="Before"/>
    <x:tableColumn id="6" name="After"/>
  </x:tableColumns>
  <x:tableStyleInfo name="TableStyleMedium2" showFirstColumn="0" showLastColumn="0" showRowStripes="1" showColumnStripes="0"/>
</x:table>
</file>

<file path=xl/tables/table5.xml><?xml version="1.0" encoding="utf-8"?>
<x:table xmlns:x="http://schemas.openxmlformats.org/spreadsheetml/2006/main" id="5" name="MethodData" displayName="MethodData" ref="A4:B31" headerRowCount="1" totalsRowCount="0" totalsRowShown="0">
  <x:tableColumns count="2">
    <x:tableColumn id="1" name="Item"/>
    <x:tableColumn id="2" name="Detai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052b781323245e2" /></Relationships>
</file>

<file path=xl/worksheets/_rels/sheet3.xml.rels>&#65279;<?xml version="1.0" encoding="utf-8"?><Relationships xmlns="http://schemas.openxmlformats.org/package/2006/relationships"><Relationship Type="http://schemas.openxmlformats.org/officeDocument/2006/relationships/table" Target="/xl/tables/table2.xml" Id="R9096b815da354e57" /></Relationships>
</file>

<file path=xl/worksheets/_rels/sheet4.xml.rels>&#65279;<?xml version="1.0" encoding="utf-8"?><Relationships xmlns="http://schemas.openxmlformats.org/package/2006/relationships"><Relationship Type="http://schemas.openxmlformats.org/officeDocument/2006/relationships/table" Target="/xl/tables/table3.xml" Id="Rb3002fc640b34ee7" /></Relationships>
</file>

<file path=xl/worksheets/_rels/sheet5.xml.rels>&#65279;<?xml version="1.0" encoding="utf-8"?><Relationships xmlns="http://schemas.openxmlformats.org/package/2006/relationships"><Relationship Type="http://schemas.openxmlformats.org/officeDocument/2006/relationships/table" Target="/xl/tables/table4.xml" Id="R5e575efcdd374a3c" /></Relationships>
</file>

<file path=xl/worksheets/_rels/sheet6.xml.rels>&#65279;<?xml version="1.0" encoding="utf-8"?><Relationships xmlns="http://schemas.openxmlformats.org/package/2006/relationships"><Relationship Type="http://schemas.openxmlformats.org/officeDocument/2006/relationships/table" Target="/xl/tables/table5.xml" Id="R8a9f642e19d34cba" /></Relationships>
</file>

<file path=xl/worksheets/sheet1.xml><?xml version="1.0" encoding="utf-8"?>
<x:worksheet xmlns:x="http://schemas.openxmlformats.org/spreadsheetml/2006/main">
  <x:sheetViews>
    <x:sheetView showGridLines="0" workbookViewId="0"/>
  </x:sheetViews>
  <x:sheetFormatPr defaultRowHeight="15"/>
  <x:cols>
    <x:col min="1" max="1" width="47" hidden="0" customWidth="1"/>
    <x:col min="2" max="2" width="19" hidden="0" customWidth="1"/>
    <x:col min="3" max="3" width="72" hidden="0" customWidth="1"/>
    <x:col min="4" max="4" width="3" hidden="0" customWidth="1"/>
    <x:col min="5" max="5" width="12" hidden="0" customWidth="1"/>
    <x:col min="6" max="6" width="15" hidden="0" customWidth="1"/>
    <x:col min="7" max="7" width="16" hidden="0" customWidth="1"/>
    <x:col min="8" max="8" width="16" hidden="0" customWidth="1"/>
    <x:col min="9" max="9" width="16" hidden="0" customWidth="1"/>
    <x:col min="10" max="10" width="14" hidden="0" customWidth="1"/>
  </x:cols>
  <x:sheetData>
    <x:row r="1" ht="28" customHeight="1">
      <x:c r="A1" s="2" t="str">
        <x:v>Recipe API reliability results</x:v>
      </x:c>
      <x:c r="B1" s="1"/>
      <x:c r="C1" s="1"/>
      <x:c r="D1" s="1"/>
      <x:c r="E1" s="1"/>
      <x:c r="F1" s="1"/>
      <x:c r="G1" s="1"/>
      <x:c r="H1" s="1"/>
      <x:c r="I1" s="1"/>
      <x:c r="J1" s="1"/>
    </x:row>
    <x:row r="2">
      <x:c r="A2" s="3" t="str">
        <x:v>24 September 2026 • 36 cases, 56 live requests • Application code unchanged</x:v>
      </x:c>
      <x:c r="B2" s="1"/>
      <x:c r="C2" s="1"/>
      <x:c r="D2" s="1"/>
      <x:c r="E2" s="1"/>
      <x:c r="F2" s="1"/>
      <x:c r="G2" s="1"/>
      <x:c r="H2" s="1"/>
      <x:c r="I2" s="1"/>
      <x:c r="J2" s="1"/>
    </x:row>
    <x:row r="3">
      <x:c r="A3" s="4"/>
      <x:c r="B3" s="4"/>
      <x:c r="C3" s="4"/>
      <x:c r="D3" s="4"/>
      <x:c r="E3" s="4"/>
      <x:c r="F3" s="4"/>
      <x:c r="G3" s="4"/>
      <x:c r="H3" s="4"/>
      <x:c r="I3" s="4"/>
      <x:c r="J3" s="4"/>
    </x:row>
    <x:row r="4" ht="27" customHeight="1">
      <x:c r="A4" s="6" t="str">
        <x:v>Measure</x:v>
      </x:c>
      <x:c r="B4" s="6" t="str">
        <x:v>Result</x:v>
      </x:c>
      <x:c r="C4" s="6" t="str">
        <x:v>Interpretation</x:v>
      </x:c>
      <x:c r="D4" s="1"/>
      <x:c r="E4" s="7" t="str">
        <x:v>Case</x:v>
      </x:c>
      <x:c r="F4" s="7" t="str">
        <x:v>Correct</x:v>
      </x:c>
      <x:c r="G4" s="7" t="str">
        <x:v>Withheld</x:v>
      </x:c>
      <x:c r="H4" s="7" t="str">
        <x:v>Incorrect</x:v>
      </x:c>
      <x:c r="I4" s="7" t="str">
        <x:v>Technical</x:v>
      </x:c>
      <x:c r="J4" s="7" t="str">
        <x:v>Total</x:v>
      </x:c>
    </x:row>
    <x:row r="5" ht="34" customHeight="1">
      <x:c r="A5" s="15" t="str">
        <x:v>Unique cases</x:v>
      </x:c>
      <x:c r="B5" s="18" t="n">
        <x:v>36</x:v>
      </x:c>
      <x:c r="C5" s="15" t="str">
        <x:v>Expected outcomes defined before testing.</x:v>
      </x:c>
      <x:c r="D5" s="1"/>
      <x:c r="E5" s="1" t="str">
        <x:v>M01</x:v>
      </x:c>
      <x:c r="F5" s="1" t="n">
        <x:f>COUNTIFS('Runs'!A$5:A$60,E5,'Runs'!E$5:E$60,"Correct")</x:f>
        <x:v>5</x:v>
      </x:c>
      <x:c r="G5" s="1" t="n">
        <x:f>COUNTIFS('Runs'!A$5:A$60,E5,'Runs'!E$5:E$60,"Incomplete plan")+COUNTIFS('Runs'!A$5:A$60,E5,'Runs'!E$5:E$60,"False rejection")</x:f>
        <x:v>0</x:v>
      </x:c>
      <x:c r="H5" s="1" t="n">
        <x:f>COUNTIFS('Runs'!A$5:A$60,E5,'Runs'!E$5:E$60,"Incorrect publication")</x:f>
        <x:v>0</x:v>
      </x:c>
      <x:c r="I5" s="1" t="n">
        <x:f>COUNTIFS('Runs'!A$5:A$60,E5,'Runs'!E$5:E$60,"Technical failure")</x:f>
        <x:v>0</x:v>
      </x:c>
      <x:c r="J5" s="1" t="n">
        <x:f>COUNTIF('Runs'!A$5:A$60,E5)</x:f>
        <x:v>5</x:v>
      </x:c>
    </x:row>
    <x:row r="6" ht="34" customHeight="1">
      <x:c r="A6" s="15" t="str">
        <x:v>Live requests</x:v>
      </x:c>
      <x:c r="B6" s="18" t="n">
        <x:v>56</x:v>
      </x:c>
      <x:c r="C6" s="15" t="str">
        <x:v>36 first runs plus 20 additional repeat runs.</x:v>
      </x:c>
      <x:c r="D6" s="1"/>
      <x:c r="E6" s="1" t="str">
        <x:v>M02</x:v>
      </x:c>
      <x:c r="F6" s="1" t="n">
        <x:f>COUNTIFS('Runs'!A$5:A$60,E6,'Runs'!E$5:E$60,"Correct")</x:f>
        <x:v>2</x:v>
      </x:c>
      <x:c r="G6" s="1" t="n">
        <x:f>COUNTIFS('Runs'!A$5:A$60,E6,'Runs'!E$5:E$60,"Incomplete plan")+COUNTIFS('Runs'!A$5:A$60,E6,'Runs'!E$5:E$60,"False rejection")</x:f>
        <x:v>3</x:v>
      </x:c>
      <x:c r="H6" s="1" t="n">
        <x:f>COUNTIFS('Runs'!A$5:A$60,E6,'Runs'!E$5:E$60,"Incorrect publication")</x:f>
        <x:v>0</x:v>
      </x:c>
      <x:c r="I6" s="1" t="n">
        <x:f>COUNTIFS('Runs'!A$5:A$60,E6,'Runs'!E$5:E$60,"Technical failure")</x:f>
        <x:v>0</x:v>
      </x:c>
      <x:c r="J6" s="1" t="n">
        <x:f>COUNTIF('Runs'!A$5:A$60,E6)</x:f>
        <x:v>5</x:v>
      </x:c>
    </x:row>
    <x:row r="7" ht="34" customHeight="1">
      <x:c r="A7" s="15" t="str">
        <x:v>Correct first-run outcomes</x:v>
      </x:c>
      <x:c r="B7" s="18" t="n">
        <x:f>COUNTIFS('Runs'!B5:B60,1,'Runs'!E5:E60,"Correct")</x:f>
        <x:v>29</x:v>
      </x:c>
      <x:c r="C7" s="15" t="str">
        <x:v>Includes successful edits and correct abstentions.</x:v>
      </x:c>
      <x:c r="D7" s="1"/>
      <x:c r="E7" s="1" t="str">
        <x:v>M03</x:v>
      </x:c>
      <x:c r="F7" s="1" t="n">
        <x:f>COUNTIFS('Runs'!A$5:A$60,E7,'Runs'!E$5:E$60,"Correct")</x:f>
        <x:v>2</x:v>
      </x:c>
      <x:c r="G7" s="1" t="n">
        <x:f>COUNTIFS('Runs'!A$5:A$60,E7,'Runs'!E$5:E$60,"Incomplete plan")+COUNTIFS('Runs'!A$5:A$60,E7,'Runs'!E$5:E$60,"False rejection")</x:f>
        <x:v>2</x:v>
      </x:c>
      <x:c r="H7" s="1" t="n">
        <x:f>COUNTIFS('Runs'!A$5:A$60,E7,'Runs'!E$5:E$60,"Incorrect publication")</x:f>
        <x:v>0</x:v>
      </x:c>
      <x:c r="I7" s="1" t="n">
        <x:f>COUNTIFS('Runs'!A$5:A$60,E7,'Runs'!E$5:E$60,"Technical failure")</x:f>
        <x:v>1</x:v>
      </x:c>
      <x:c r="J7" s="1" t="n">
        <x:f>COUNTIF('Runs'!A$5:A$60,E7)</x:f>
        <x:v>5</x:v>
      </x:c>
    </x:row>
    <x:row r="8" ht="34" customHeight="1">
      <x:c r="A8" s="15" t="str">
        <x:v>Supported first-run requests</x:v>
      </x:c>
      <x:c r="B8" s="18" t="n">
        <x:f>COUNTIFS('Runs'!B5:B60,1,'Runs'!C5:C60,"applied")</x:f>
        <x:v>24</x:v>
      </x:c>
      <x:c r="C8" s="15" t="str">
        <x:v>Distinct requests expected to produce an enhancement.</x:v>
      </x:c>
      <x:c r="D8" s="1"/>
      <x:c r="E8" s="1" t="str">
        <x:v>M04</x:v>
      </x:c>
      <x:c r="F8" s="1" t="n">
        <x:f>COUNTIFS('Runs'!A$5:A$60,E8,'Runs'!E$5:E$60,"Correct")</x:f>
        <x:v>0</x:v>
      </x:c>
      <x:c r="G8" s="1" t="n">
        <x:f>COUNTIFS('Runs'!A$5:A$60,E8,'Runs'!E$5:E$60,"Incomplete plan")+COUNTIFS('Runs'!A$5:A$60,E8,'Runs'!E$5:E$60,"False rejection")</x:f>
        <x:v>1</x:v>
      </x:c>
      <x:c r="H8" s="1" t="n">
        <x:f>COUNTIFS('Runs'!A$5:A$60,E8,'Runs'!E$5:E$60,"Incorrect publication")</x:f>
        <x:v>3</x:v>
      </x:c>
      <x:c r="I8" s="1" t="n">
        <x:f>COUNTIFS('Runs'!A$5:A$60,E8,'Runs'!E$5:E$60,"Technical failure")</x:f>
        <x:v>1</x:v>
      </x:c>
      <x:c r="J8" s="1" t="n">
        <x:f>COUNTIF('Runs'!A$5:A$60,E8)</x:f>
        <x:v>5</x:v>
      </x:c>
    </x:row>
    <x:row r="9" ht="34" customHeight="1">
      <x:c r="A9" s="15" t="str">
        <x:v>Correct supported first runs</x:v>
      </x:c>
      <x:c r="B9" s="18" t="n">
        <x:f>COUNTIFS('Runs'!B5:B60,1,'Runs'!C5:C60,"applied",'Runs'!E5:E60,"Correct")</x:f>
        <x:v>17</x:v>
      </x:c>
      <x:c r="C9" s="15" t="str">
        <x:v>Actual content reviewed, not just status applied.</x:v>
      </x:c>
      <x:c r="D9" s="1"/>
      <x:c r="E9" s="1" t="str">
        <x:v>T03</x:v>
      </x:c>
      <x:c r="F9" s="1" t="n">
        <x:f>COUNTIFS('Runs'!A$5:A$60,E9,'Runs'!E$5:E$60,"Correct")</x:f>
        <x:v>3</x:v>
      </x:c>
      <x:c r="G9" s="1" t="n">
        <x:f>COUNTIFS('Runs'!A$5:A$60,E9,'Runs'!E$5:E$60,"Incomplete plan")+COUNTIFS('Runs'!A$5:A$60,E9,'Runs'!E$5:E$60,"False rejection")</x:f>
        <x:v>0</x:v>
      </x:c>
      <x:c r="H9" s="1" t="n">
        <x:f>COUNTIFS('Runs'!A$5:A$60,E9,'Runs'!E$5:E$60,"Incorrect publication")</x:f>
        <x:v>0</x:v>
      </x:c>
      <x:c r="I9" s="1" t="n">
        <x:f>COUNTIFS('Runs'!A$5:A$60,E9,'Runs'!E$5:E$60,"Technical failure")</x:f>
        <x:v>2</x:v>
      </x:c>
      <x:c r="J9" s="1" t="n">
        <x:f>COUNTIF('Runs'!A$5:A$60,E9)</x:f>
        <x:v>5</x:v>
      </x:c>
    </x:row>
    <x:row r="10" ht="34" customHeight="1">
      <x:c r="A10" s="15" t="str">
        <x:v>Supported completion rate</x:v>
      </x:c>
      <x:c r="B10" s="23" t="n">
        <x:f>B9/B8</x:f>
        <x:v>0.7083333333333334</x:v>
      </x:c>
      <x:c r="C10" s="15" t="str">
        <x:v>Acceptance target: at least 95%.</x:v>
      </x:c>
      <x:c r="D10" s="1"/>
      <x:c r="E10" s="1"/>
      <x:c r="F10" s="1"/>
      <x:c r="G10" s="1"/>
      <x:c r="H10" s="1"/>
      <x:c r="I10" s="1"/>
      <x:c r="J10" s="1"/>
    </x:row>
    <x:row r="11" ht="34" customHeight="1">
      <x:c r="A11" s="15" t="str">
        <x:v>Completion target</x:v>
      </x:c>
      <x:c r="B11" s="19" t="n">
        <x:v>0.95</x:v>
      </x:c>
      <x:c r="C11" s="15" t="str">
        <x:v>Set before testing.</x:v>
      </x:c>
      <x:c r="D11" s="1"/>
      <x:c r="E11" s="25" t="str">
        <x:v>Repeat results</x:v>
      </x:c>
      <x:c r="F11" s="1"/>
      <x:c r="G11" s="1"/>
      <x:c r="H11" s="1"/>
      <x:c r="I11" s="1"/>
      <x:c r="J11" s="1"/>
    </x:row>
    <x:row r="12" ht="34" customHeight="1">
      <x:c r="A12" s="15" t="str">
        <x:v>Incorrect publications</x:v>
      </x:c>
      <x:c r="B12" s="24" t="n">
        <x:f>COUNTIF('Runs'!E5:E60,"Incorrect publication")</x:f>
        <x:v>4</x:v>
      </x:c>
      <x:c r="C12" s="15" t="str">
        <x:v>Zero allowed. Four observations across two defects.</x:v>
      </x:c>
      <x:c r="D12" s="1"/>
      <x:c r="E12" s="1" t="str">
        <x:v>Only M01 completed correctly in all five runs.</x:v>
      </x:c>
      <x:c r="F12" s="1"/>
      <x:c r="G12" s="1"/>
      <x:c r="H12" s="1"/>
      <x:c r="I12" s="1"/>
      <x:c r="J12" s="1"/>
    </x:row>
    <x:row r="13" ht="34" customHeight="1">
      <x:c r="A13" s="15" t="str">
        <x:v>Maximum incorrect publications</x:v>
      </x:c>
      <x:c r="B13" s="18" t="n">
        <x:v>0</x:v>
      </x:c>
      <x:c r="C13" s="15" t="str">
        <x:v>Set before testing.</x:v>
      </x:c>
      <x:c r="D13" s="1"/>
      <x:c r="E13" s="1"/>
      <x:c r="F13" s="1"/>
      <x:c r="G13" s="1"/>
      <x:c r="H13" s="1"/>
      <x:c r="I13" s="1"/>
      <x:c r="J13" s="1"/>
    </x:row>
    <x:row r="14" ht="34" customHeight="1">
      <x:c r="A14" s="15" t="str">
        <x:v>Incomplete plans withheld</x:v>
      </x:c>
      <x:c r="B14" s="18" t="n">
        <x:f>COUNTIF('Runs'!E5:E60,"Incomplete plan")</x:f>
        <x:v>4</x:v>
      </x:c>
      <x:c r="C14" s="15" t="str">
        <x:v>Protective rejection, but valid requests not completed.</x:v>
      </x:c>
      <x:c r="D14" s="1"/>
      <x:c r="E14" s="25" t="str">
        <x:v>Fix order</x:v>
      </x:c>
      <x:c r="F14" s="1"/>
      <x:c r="G14" s="1"/>
      <x:c r="H14" s="1"/>
      <x:c r="I14" s="1"/>
      <x:c r="J14" s="1"/>
    </x:row>
    <x:row r="15" ht="34" customHeight="1">
      <x:c r="A15" s="15" t="str">
        <x:v>False rejections</x:v>
      </x:c>
      <x:c r="B15" s="18" t="n">
        <x:f>COUNTIF('Runs'!E5:E60,"False rejection")</x:f>
        <x:v>5</x:v>
      </x:c>
      <x:c r="C15" s="15" t="str">
        <x:v>Valid requests blocked by classification or matching.</x:v>
      </x:c>
      <x:c r="D15" s="1"/>
      <x:c r="E15" s="1" t="str">
        <x:v>1. Published preparation and description errors (H01, H02).</x:v>
      </x:c>
      <x:c r="F15" s="1"/>
      <x:c r="G15" s="1"/>
      <x:c r="H15" s="1"/>
      <x:c r="I15" s="1"/>
      <x:c r="J15" s="1"/>
    </x:row>
    <x:row r="16" ht="34" customHeight="1">
      <x:c r="A16" s="15" t="str">
        <x:v>Technical failures</x:v>
      </x:c>
      <x:c r="B16" s="18" t="n">
        <x:f>COUNTIF('Runs'!E5:E60,"Technical failure")</x:f>
        <x:v>4</x:v>
      </x:c>
      <x:c r="C16" s="15" t="str">
        <x:v>3 RateLimitError responses; 1 unavailable consistency check.</x:v>
      </x:c>
      <x:c r="D16" s="1"/>
      <x:c r="E16" s="1" t="str">
        <x:v>2. Duration, ordering and matching failures (H03-H06).</x:v>
      </x:c>
      <x:c r="F16" s="1"/>
      <x:c r="G16" s="1"/>
      <x:c r="H16" s="1"/>
      <x:c r="I16" s="1"/>
      <x:c r="J16" s="1"/>
    </x:row>
    <x:row r="17" ht="34" customHeight="1">
      <x:c r="A17" s="15" t="str">
        <x:v>Existing regression tests passed</x:v>
      </x:c>
      <x:c r="B17" s="18" t="n">
        <x:v>56</x:v>
      </x:c>
      <x:c r="C17" s="15" t="str">
        <x:v>56 of 56 tests passed.</x:v>
      </x:c>
      <x:c r="D17" s="1"/>
      <x:c r="E17" s="1" t="str">
        <x:v>3. Provider availability and actionable errors (O01).</x:v>
      </x:c>
      <x:c r="F17" s="1"/>
      <x:c r="G17" s="1"/>
      <x:c r="H17" s="1"/>
      <x:c r="I17" s="1"/>
      <x:c r="J17" s="1"/>
    </x:row>
    <x:row r="18" ht="34" customHeight="1">
      <x:c r="A18" s="15" t="str">
        <x:v>Injected provider failures handled</x:v>
      </x:c>
      <x:c r="B18" s="18" t="n">
        <x:v>5</x:v>
      </x:c>
      <x:c r="C18" s="15" t="str">
        <x:v>5 of 5 mocked failure tests passed.</x:v>
      </x:c>
      <x:c r="D18" s="1"/>
      <x:c r="E18" s="1"/>
      <x:c r="F18" s="1"/>
      <x:c r="G18" s="1"/>
      <x:c r="H18" s="1"/>
      <x:c r="I18" s="1"/>
      <x:c r="J18" s="1"/>
    </x:row>
    <x:row r="19" ht="34" customHeight="1">
      <x:c r="A19" s="15" t="str">
        <x:v>Recorded planning tokens</x:v>
      </x:c>
      <x:c r="B19" s="18" t="n">
        <x:f>SUM('Runs'!K5:K60)</x:f>
        <x:v>200933</x:v>
      </x:c>
      <x:c r="C19" s="15" t="str">
        <x:v>Partial usage only. See Method for exclusions.</x:v>
      </x:c>
      <x:c r="D19" s="1"/>
      <x:c r="E19" s="1"/>
      <x:c r="F19" s="1"/>
      <x:c r="G19" s="1"/>
      <x:c r="H19" s="1"/>
      <x:c r="I19" s="1"/>
      <x:c r="J19" s="1"/>
    </x:row>
    <x:row r="20" ht="34" customHeight="1">
      <x:c r="A20" s="15" t="str">
        <x:v>Live acceptance criteria met</x:v>
      </x:c>
      <x:c r="B20" s="20" t="str">
        <x:f>IF(AND(B10&gt;=B11,B12&lt;=B13),"Yes","No")</x:f>
        <x:v>No</x:v>
      </x:c>
      <x:c r="C20" s="15" t="str">
        <x:v>Incorrect publications and completion rate both miss the target.</x:v>
      </x:c>
      <x:c r="D20" s="1"/>
      <x:c r="E20" s="1"/>
      <x:c r="F20" s="1"/>
      <x:c r="G20" s="1"/>
      <x:c r="H20" s="1"/>
      <x:c r="I20" s="1"/>
      <x:c r="J20" s="1"/>
    </x:row>
    <x:row r="21">
      <x:c r="A21" s="1"/>
      <x:c r="B21" s="1"/>
      <x:c r="C21" s="1"/>
      <x:c r="D21" s="1"/>
      <x:c r="E21" s="1"/>
      <x:c r="F21" s="1"/>
      <x:c r="G21" s="1"/>
      <x:c r="H21" s="1"/>
      <x:c r="I21" s="1"/>
      <x:c r="J21" s="1"/>
    </x:row>
    <x:row r="22">
      <x:c r="A22" s="1"/>
      <x:c r="B22" s="1"/>
      <x:c r="C22" s="1"/>
      <x:c r="D22" s="1"/>
      <x:c r="E22" s="1"/>
      <x:c r="F22" s="1"/>
      <x:c r="G22" s="1"/>
      <x:c r="H22" s="1"/>
      <x:c r="I22" s="1"/>
      <x:c r="J22" s="1"/>
    </x:row>
    <x:row r="23">
      <x:c r="A23" s="25" t="str">
        <x:v>Reading this report</x:v>
      </x:c>
      <x:c r="B23" s="1"/>
      <x:c r="C23" s="1"/>
      <x:c r="D23" s="1"/>
      <x:c r="E23" s="1"/>
      <x:c r="F23" s="1"/>
      <x:c r="G23" s="1"/>
      <x:c r="H23" s="1"/>
      <x:c r="I23" s="1"/>
      <x:c r="J23" s="1"/>
    </x:row>
    <x:row r="24">
      <x:c r="A24" s="1" t="str">
        <x:v>Cases lists requests and expected results. Runs includes all 56 observations.</x:v>
      </x:c>
      <x:c r="B24" s="1"/>
      <x:c r="C24" s="1"/>
      <x:c r="D24" s="1"/>
      <x:c r="E24" s="1"/>
      <x:c r="F24" s="1"/>
      <x:c r="G24" s="1"/>
      <x:c r="H24" s="1"/>
      <x:c r="I24" s="1"/>
      <x:c r="J24" s="1"/>
    </x:row>
    <x:row r="25">
      <x:c r="A25" s="1" t="str">
        <x:v>Issues records severity and proposed fixes. Changes shows exact published edits.</x:v>
      </x:c>
      <x:c r="B25" s="1"/>
      <x:c r="C25" s="1"/>
      <x:c r="D25" s="1"/>
      <x:c r="E25" s="1"/>
      <x:c r="F25" s="1"/>
      <x:c r="G25" s="1"/>
      <x:c r="H25" s="1"/>
      <x:c r="I25" s="1"/>
      <x:c r="J25" s="1"/>
    </x:row>
    <x:row r="26">
      <x:c r="A26" s="1" t="str">
        <x:v>Method explains grading, usage limitations and failure-injection tests.</x:v>
      </x:c>
      <x:c r="B26" s="1"/>
      <x:c r="C26" s="1"/>
      <x:c r="D26" s="1"/>
      <x:c r="E26" s="1"/>
      <x:c r="F26" s="1"/>
      <x:c r="G26" s="1"/>
      <x:c r="H26" s="1"/>
      <x:c r="I26" s="1"/>
      <x:c r="J26" s="1"/>
    </x:row>
    <x:row r="27">
      <x:c r="A27" s="1"/>
      <x:c r="B27" s="1"/>
      <x:c r="C27" s="1"/>
      <x:c r="D27" s="1"/>
      <x:c r="E27" s="1"/>
      <x:c r="F27" s="1"/>
      <x:c r="G27" s="1"/>
      <x:c r="H27" s="1"/>
      <x:c r="I27" s="1"/>
      <x:c r="J27" s="1"/>
    </x:row>
    <x:row r="28">
      <x:c r="A28" s="1"/>
      <x:c r="B28" s="1"/>
      <x:c r="C28" s="1"/>
      <x:c r="D28" s="1"/>
      <x:c r="E28" s="1"/>
      <x:c r="F28" s="1"/>
      <x:c r="G28" s="1"/>
      <x:c r="H28" s="1"/>
      <x:c r="I28" s="1"/>
      <x:c r="J28" s="1"/>
    </x:row>
    <x:row r="29">
      <x:c r="A29" s="1"/>
      <x:c r="B29" s="1"/>
      <x:c r="C29" s="1"/>
      <x:c r="D29" s="1"/>
      <x:c r="E29" s="1"/>
      <x:c r="F29" s="1"/>
      <x:c r="G29" s="1"/>
      <x:c r="H29" s="1"/>
      <x:c r="I29" s="1"/>
      <x:c r="J29" s="1"/>
    </x:row>
    <x:row r="30">
      <x:c r="A30" s="1"/>
      <x:c r="B30" s="1"/>
      <x:c r="C30" s="1"/>
      <x:c r="D30" s="1"/>
      <x:c r="E30" s="1"/>
      <x:c r="F30" s="1"/>
      <x:c r="G30" s="1"/>
      <x:c r="H30" s="1"/>
      <x:c r="I30" s="1"/>
      <x:c r="J30" s="1"/>
    </x:row>
    <x:row r="31">
      <x:c r="A31" s="1"/>
      <x:c r="B31" s="1"/>
      <x:c r="C31" s="1"/>
      <x:c r="D31" s="1"/>
      <x:c r="E31" s="1"/>
      <x:c r="F31" s="1"/>
      <x:c r="G31" s="1"/>
      <x:c r="H31" s="1"/>
      <x:c r="I31" s="1"/>
      <x:c r="J31" s="1"/>
    </x:row>
    <x:row r="32">
      <x:c r="A32" s="1"/>
      <x:c r="B32" s="1"/>
      <x:c r="C32" s="1"/>
      <x:c r="D32" s="1"/>
      <x:c r="E32" s="1"/>
      <x:c r="F32" s="1"/>
      <x:c r="G32" s="1"/>
      <x:c r="H32" s="1"/>
      <x:c r="I32" s="1"/>
      <x:c r="J32" s="1"/>
    </x:row>
    <x:row r="33">
      <x:c r="A33" s="1"/>
      <x:c r="B33" s="1"/>
      <x:c r="C33" s="1"/>
      <x:c r="D33" s="1"/>
      <x:c r="E33" s="1"/>
      <x:c r="F33" s="1"/>
      <x:c r="G33" s="1"/>
      <x:c r="H33" s="1"/>
      <x:c r="I33" s="1"/>
      <x:c r="J33" s="1"/>
    </x:row>
    <x:row r="34">
      <x:c r="A34" s="1"/>
      <x:c r="B34" s="1"/>
      <x:c r="C34" s="1"/>
      <x:c r="D34" s="1"/>
      <x:c r="E34" s="1"/>
      <x:c r="F34" s="1"/>
      <x:c r="G34" s="1"/>
      <x:c r="H34" s="1"/>
      <x:c r="I34" s="1"/>
      <x:c r="J34" s="1"/>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0" hidden="0" customWidth="1"/>
    <x:col min="2" max="2" width="24" hidden="0" customWidth="1"/>
    <x:col min="3" max="3" width="13" hidden="0" customWidth="1"/>
    <x:col min="4" max="4" width="62" hidden="0" customWidth="1"/>
    <x:col min="5" max="5" width="64" hidden="0" customWidth="1"/>
    <x:col min="6" max="6" width="20" hidden="0" customWidth="1"/>
    <x:col min="7" max="7" width="20" hidden="0" customWidth="1"/>
    <x:col min="8" max="8" width="25" hidden="0" customWidth="1"/>
    <x:col min="9" max="9" width="12" hidden="0" customWidth="1"/>
    <x:col min="10" max="10" width="70" hidden="0" customWidth="1"/>
  </x:cols>
  <x:sheetData>
    <x:row r="1" ht="28" customHeight="1">
      <x:c r="A1" s="2" t="str">
        <x:v>Reliability test cases</x:v>
      </x:c>
      <x:c r="B1" s="1"/>
      <x:c r="C1" s="1"/>
      <x:c r="D1" s="1"/>
      <x:c r="E1" s="1"/>
      <x:c r="F1" s="1"/>
      <x:c r="G1" s="1"/>
      <x:c r="H1" s="1"/>
      <x:c r="I1" s="1"/>
      <x:c r="J1" s="1"/>
    </x:row>
    <x:row r="2">
      <x:c r="A2" s="3" t="str">
        <x:v>Expected outcomes were frozen before the first live request. First-run results shown.</x:v>
      </x:c>
      <x:c r="B2" s="1"/>
      <x:c r="C2" s="1"/>
      <x:c r="D2" s="1"/>
      <x:c r="E2" s="1"/>
      <x:c r="F2" s="1"/>
      <x:c r="G2" s="1"/>
      <x:c r="H2" s="1"/>
      <x:c r="I2" s="1"/>
      <x:c r="J2" s="1"/>
    </x:row>
    <x:row r="3">
      <x:c r="A3" s="4"/>
      <x:c r="B3" s="4"/>
      <x:c r="C3" s="4"/>
      <x:c r="D3" s="4"/>
      <x:c r="E3" s="4"/>
      <x:c r="F3" s="4"/>
      <x:c r="G3" s="4"/>
      <x:c r="H3" s="4"/>
      <x:c r="I3" s="4"/>
      <x:c r="J3" s="4"/>
    </x:row>
    <x:row r="4" ht="34" customHeight="1">
      <x:c r="A4" s="7" t="str">
        <x:v>Case</x:v>
      </x:c>
      <x:c r="B4" s="7" t="str">
        <x:v>Category</x:v>
      </x:c>
      <x:c r="C4" s="7" t="str">
        <x:v>Recipe ID</x:v>
      </x:c>
      <x:c r="D4" s="7" t="str">
        <x:v>Review text</x:v>
      </x:c>
      <x:c r="E4" s="7" t="str">
        <x:v>Expected result</x:v>
      </x:c>
      <x:c r="F4" s="7" t="str">
        <x:v>Expected status</x:v>
      </x:c>
      <x:c r="G4" s="7" t="str">
        <x:v>Actual status</x:v>
      </x:c>
      <x:c r="H4" s="7" t="str">
        <x:v>Assessment</x:v>
      </x:c>
      <x:c r="I4" s="7" t="str">
        <x:v>Issue</x:v>
      </x:c>
      <x:c r="J4" s="7" t="str">
        <x:v>Observed result</x:v>
      </x:c>
    </x:row>
    <x:row r="5" ht="39" customHeight="1">
      <x:c r="A5" s="9" t="str">
        <x:v>Q01</x:v>
      </x:c>
      <x:c r="B5" s="9" t="str">
        <x:v>Quantity</x:v>
      </x:c>
      <x:c r="C5" s="9" t="str">
        <x:v>10813</x:v>
      </x:c>
      <x:c r="D5" s="9" t="str">
        <x:v>I used three quarters of a cup of white sugar rather than the full cup.</x:v>
      </x:c>
      <x:c r="E5" s="9" t="str">
        <x:v>White sugar 3/4 cup; brown sugar unchanged. Preserve all unrelated ingredients and instructions.</x:v>
      </x:c>
      <x:c r="F5" s="9" t="str">
        <x:v>applied</x:v>
      </x:c>
      <x:c r="G5" s="9" t="str">
        <x:v>applied</x:v>
      </x:c>
      <x:c r="H5" s="9" t="str">
        <x:v>Correct</x:v>
      </x:c>
      <x:c r="I5" s="9" t="str"/>
      <x:c r="J5" s="9" t="str">
        <x:v>White sugar 3/4 cup; brown sugar preserved.</x:v>
      </x:c>
    </x:row>
    <x:row r="6" ht="39" customHeight="1">
      <x:c r="A6" s="10" t="str">
        <x:v>Q02</x:v>
      </x:c>
      <x:c r="B6" s="10" t="str">
        <x:v>Quantity</x:v>
      </x:c>
      <x:c r="C6" s="10" t="str">
        <x:v>10813</x:v>
      </x:c>
      <x:c r="D6" s="10" t="str">
        <x:v>I reduced the flour by one third, using 2 cups instead of 3.</x:v>
      </x:c>
      <x:c r="E6" s="10" t="str">
        <x:v>Flour 2 cups. Preserve all unrelated ingredients and instructions.</x:v>
      </x:c>
      <x:c r="F6" s="10" t="str">
        <x:v>applied</x:v>
      </x:c>
      <x:c r="G6" s="10" t="str">
        <x:v>applied</x:v>
      </x:c>
      <x:c r="H6" s="10" t="str">
        <x:v>Correct</x:v>
      </x:c>
      <x:c r="I6" s="10" t="str"/>
      <x:c r="J6" s="10" t="str">
        <x:v>Flour reduced to 2 cups.</x:v>
      </x:c>
    </x:row>
    <x:row r="7" ht="39" customHeight="1">
      <x:c r="A7" s="9" t="str">
        <x:v>Q03</x:v>
      </x:c>
      <x:c r="B7" s="9" t="str">
        <x:v>Quantity</x:v>
      </x:c>
      <x:c r="C7" s="9" t="str">
        <x:v>10813</x:v>
      </x:c>
      <x:c r="D7" s="9" t="str">
        <x:v>I doubled the vanilla extract to 4 teaspoons.</x:v>
      </x:c>
      <x:c r="E7" s="9" t="str">
        <x:v>Vanilla extract 4 teaspoons. Preserve all unrelated ingredients and instructions.</x:v>
      </x:c>
      <x:c r="F7" s="9" t="str">
        <x:v>applied</x:v>
      </x:c>
      <x:c r="G7" s="9" t="str">
        <x:v>applied</x:v>
      </x:c>
      <x:c r="H7" s="9" t="str">
        <x:v>Correct</x:v>
      </x:c>
      <x:c r="I7" s="9" t="str"/>
      <x:c r="J7" s="9" t="str">
        <x:v>Vanilla 4 teaspoons in ingredients and use step.</x:v>
      </x:c>
    </x:row>
    <x:row r="8" ht="39" customHeight="1">
      <x:c r="A8" s="10" t="str">
        <x:v>Q04</x:v>
      </x:c>
      <x:c r="B8" s="10" t="str">
        <x:v>Quantity</x:v>
      </x:c>
      <x:c r="C8" s="10" t="str">
        <x:v>77935</x:v>
      </x:c>
      <x:c r="D8" s="10" t="str">
        <x:v>I used 4 cups of chicken broth instead of 3 cups.</x:v>
      </x:c>
      <x:c r="E8" s="10" t="str">
        <x:v>Chicken broth 4 cups. Preserve all unrelated ingredients and instructions.</x:v>
      </x:c>
      <x:c r="F8" s="10" t="str">
        <x:v>applied</x:v>
      </x:c>
      <x:c r="G8" s="10" t="str">
        <x:v>applied</x:v>
      </x:c>
      <x:c r="H8" s="10" t="str">
        <x:v>Correct</x:v>
      </x:c>
      <x:c r="I8" s="10" t="str"/>
      <x:c r="J8" s="10" t="str">
        <x:v>Chicken broth 4 cups; simmering instructions preserved.</x:v>
      </x:c>
    </x:row>
    <x:row r="9" ht="39" customHeight="1">
      <x:c r="A9" s="9" t="str">
        <x:v>Q05</x:v>
      </x:c>
      <x:c r="B9" s="9" t="str">
        <x:v>Quantity</x:v>
      </x:c>
      <x:c r="C9" s="9" t="str">
        <x:v>45613</x:v>
      </x:c>
      <x:c r="D9" s="9" t="str">
        <x:v>I cut the dried cherries to half a cup.</x:v>
      </x:c>
      <x:c r="E9" s="9" t="str">
        <x:v>Dried cherries 1/2 cup. Preserve all unrelated ingredients and instructions.</x:v>
      </x:c>
      <x:c r="F9" s="9" t="str">
        <x:v>applied</x:v>
      </x:c>
      <x:c r="G9" s="9" t="str">
        <x:v>applied</x:v>
      </x:c>
      <x:c r="H9" s="9" t="str">
        <x:v>Correct</x:v>
      </x:c>
      <x:c r="I9" s="9" t="str"/>
      <x:c r="J9" s="9" t="str">
        <x:v>Cherries 1/2 cup in ingredients and blender step.</x:v>
      </x:c>
    </x:row>
    <x:row r="10" ht="39" customHeight="1">
      <x:c r="A10" s="10" t="str">
        <x:v>Q06</x:v>
      </x:c>
      <x:c r="B10" s="10" t="str">
        <x:v>Quantity</x:v>
      </x:c>
      <x:c r="C10" s="10" t="str">
        <x:v>144299</x:v>
      </x:c>
      <x:c r="D10" s="10" t="str">
        <x:v>I used half the listed sake: one eighth of a cup.</x:v>
      </x:c>
      <x:c r="E10" s="10" t="str">
        <x:v>Sake 1/8 cup. Preserve all unrelated ingredients and instructions.</x:v>
      </x:c>
      <x:c r="F10" s="10" t="str">
        <x:v>applied</x:v>
      </x:c>
      <x:c r="G10" s="10" t="str">
        <x:v>applied</x:v>
      </x:c>
      <x:c r="H10" s="10" t="str">
        <x:v>Correct</x:v>
      </x:c>
      <x:c r="I10" s="10" t="str"/>
      <x:c r="J10" s="10" t="str">
        <x:v>Sake 1/8 cup in ingredients and simmering step.</x:v>
      </x:c>
    </x:row>
    <x:row r="11" ht="54" customHeight="1">
      <x:c r="A11" s="9" t="str">
        <x:v>Q07</x:v>
      </x:c>
      <x:c r="B11" s="9" t="str">
        <x:v>Quantity</x:v>
      </x:c>
      <x:c r="C11" s="9" t="str">
        <x:v>19117</x:v>
      </x:c>
      <x:c r="D11" s="9" t="str">
        <x:v>For the frosting, I used 1 1/2 cups of confectioners' sugar instead of 2 cups. I left both sugars in the cake batter unchanged.</x:v>
      </x:c>
      <x:c r="E11" s="9" t="str">
        <x:v>Confectioners' sugar 1 1/2 cups; brown and white sugar unchanged. Preserve all unrelated ingredients and instructions.</x:v>
      </x:c>
      <x:c r="F11" s="9" t="str">
        <x:v>applied</x:v>
      </x:c>
      <x:c r="G11" s="9" t="str">
        <x:v>applied</x:v>
      </x:c>
      <x:c r="H11" s="9" t="str">
        <x:v>Correct</x:v>
      </x:c>
      <x:c r="I11" s="9" t="str"/>
      <x:c r="J11" s="9" t="str">
        <x:v>Frosting sugar 1 1/2 cups; both batter sugars unchanged.</x:v>
      </x:c>
    </x:row>
    <x:row r="12" ht="39" customHeight="1">
      <x:c r="A12" s="10" t="str">
        <x:v>Q08</x:v>
      </x:c>
      <x:c r="B12" s="10" t="str">
        <x:v>Quantity</x:v>
      </x:c>
      <x:c r="C12" s="10" t="str">
        <x:v>10813</x:v>
      </x:c>
      <x:c r="D12" s="10" t="str">
        <x:v>I increased the eggs from two to three. That was my only change.</x:v>
      </x:c>
      <x:c r="E12" s="10" t="str">
        <x:v>Eggs 3. Preserve all unrelated ingredients and instructions.</x:v>
      </x:c>
      <x:c r="F12" s="10" t="str">
        <x:v>applied</x:v>
      </x:c>
      <x:c r="G12" s="10" t="str">
        <x:v>applied</x:v>
      </x:c>
      <x:c r="H12" s="10" t="str">
        <x:v>Correct</x:v>
      </x:c>
      <x:c r="I12" s="10" t="str"/>
      <x:c r="J12" s="10" t="str">
        <x:v>Eggs increased to 3; other ingredients unchanged.</x:v>
      </x:c>
    </x:row>
    <x:row r="13" ht="39" customHeight="1">
      <x:c r="A13" s="9" t="str">
        <x:v>S01</x:v>
      </x:c>
      <x:c r="B13" s="9" t="str">
        <x:v>Substitution</x:v>
      </x:c>
      <x:c r="C13" s="9" t="str">
        <x:v>10813</x:v>
      </x:c>
      <x:c r="D13" s="9" t="str">
        <x:v>I replaced the 1 cup of chopped walnuts with 1 cup of chopped pecans.</x:v>
      </x:c>
      <x:c r="E13" s="9" t="str">
        <x:v>Pecans 1 cup replace walnuts in ingredients and mixing instructions. Preserve all unrelated ingredients and instructions.</x:v>
      </x:c>
      <x:c r="F13" s="9" t="str">
        <x:v>applied</x:v>
      </x:c>
      <x:c r="G13" s="9" t="str">
        <x:v>applied</x:v>
      </x:c>
      <x:c r="H13" s="9" t="str">
        <x:v>Correct</x:v>
      </x:c>
      <x:c r="I13" s="9" t="str"/>
      <x:c r="J13" s="9" t="str">
        <x:v>Walnuts replaced with 1 cup pecans and mixing step updated.</x:v>
      </x:c>
    </x:row>
    <x:row r="14" ht="54" customHeight="1">
      <x:c r="A14" s="10" t="str">
        <x:v>S02</x:v>
      </x:c>
      <x:c r="B14" s="10" t="str">
        <x:v>Substitution</x:v>
      </x:c>
      <x:c r="C14" s="10" t="str">
        <x:v>10813</x:v>
      </x:c>
      <x:c r="D14" s="10" t="str">
        <x:v>I used 2 cups of milk chocolate chips instead of the 2 cups of semisweet chocolate chips.</x:v>
      </x:c>
      <x:c r="E14" s="10" t="str">
        <x:v>Milk chocolate chips 2 cups replace semisweet chips; generic chocolate-chip instruction is acceptable. Preserve all unrelated ingredients and instructions.</x:v>
      </x:c>
      <x:c r="F14" s="10" t="str">
        <x:v>applied</x:v>
      </x:c>
      <x:c r="G14" s="10" t="str">
        <x:v>applied</x:v>
      </x:c>
      <x:c r="H14" s="10" t="str">
        <x:v>Correct</x:v>
      </x:c>
      <x:c r="I14" s="10" t="str"/>
      <x:c r="J14" s="10" t="str">
        <x:v>2 cups milk chocolate chips and matching mixing step.</x:v>
      </x:c>
    </x:row>
    <x:row r="15" ht="54" customHeight="1">
      <x:c r="A15" s="9" t="str">
        <x:v>S03</x:v>
      </x:c>
      <x:c r="B15" s="9" t="str">
        <x:v>Substitution</x:v>
      </x:c>
      <x:c r="C15" s="9" t="str">
        <x:v>77935</x:v>
      </x:c>
      <x:c r="D15" s="9" t="str">
        <x:v>I replaced all 3 cups of chicken broth with 3 cups of vegetable broth.</x:v>
      </x:c>
      <x:c r="E15" s="9" t="str">
        <x:v>Vegetable broth 3 cups replaces chicken broth; generic broth instruction is acceptable. Preserve all unrelated ingredients and instructions.</x:v>
      </x:c>
      <x:c r="F15" s="9" t="str">
        <x:v>applied</x:v>
      </x:c>
      <x:c r="G15" s="9" t="str">
        <x:v>applied</x:v>
      </x:c>
      <x:c r="H15" s="9" t="str">
        <x:v>Correct</x:v>
      </x:c>
      <x:c r="I15" s="9" t="str"/>
      <x:c r="J15" s="9" t="str">
        <x:v>3 cups vegetable broth and matching simmering step.</x:v>
      </x:c>
    </x:row>
    <x:row r="16" ht="54" customHeight="1">
      <x:c r="A16" s="10" t="str">
        <x:v>S04</x:v>
      </x:c>
      <x:c r="B16" s="10" t="str">
        <x:v>Substitution</x:v>
      </x:c>
      <x:c r="C16" s="10" t="str">
        <x:v>45613</x:v>
      </x:c>
      <x:c r="D16" s="10" t="str">
        <x:v>I swapped the dried cherries for 3/4 cup dried cranberries.</x:v>
      </x:c>
      <x:c r="E16" s="10" t="str">
        <x:v>Dried cranberries 3/4 cup replace cherries in ingredients and blender step. Preserve all unrelated ingredients and instructions.</x:v>
      </x:c>
      <x:c r="F16" s="10" t="str">
        <x:v>applied</x:v>
      </x:c>
      <x:c r="G16" s="10" t="str">
        <x:v>applied</x:v>
      </x:c>
      <x:c r="H16" s="10" t="str">
        <x:v>Correct</x:v>
      </x:c>
      <x:c r="I16" s="10" t="str"/>
      <x:c r="J16" s="10" t="str">
        <x:v>3/4 cup cranberries and matching blender step.</x:v>
      </x:c>
    </x:row>
    <x:row r="17" ht="54" customHeight="1">
      <x:c r="A17" s="9" t="str">
        <x:v>S05</x:v>
      </x:c>
      <x:c r="B17" s="9" t="str">
        <x:v>Substitution</x:v>
      </x:c>
      <x:c r="C17" s="9" t="str">
        <x:v>45613</x:v>
      </x:c>
      <x:c r="D17" s="9" t="str">
        <x:v>I replaced the mango nectar with 1 1/2 cups of pineapple juice.</x:v>
      </x:c>
      <x:c r="E17" s="9" t="str">
        <x:v>Pineapple juice 1 1/2 cups replaces mango nectar in ingredients and blender step. Preserve all unrelated ingredients and instructions.</x:v>
      </x:c>
      <x:c r="F17" s="9" t="str">
        <x:v>applied</x:v>
      </x:c>
      <x:c r="G17" s="9" t="str">
        <x:v>applied</x:v>
      </x:c>
      <x:c r="H17" s="9" t="str">
        <x:v>Correct</x:v>
      </x:c>
      <x:c r="I17" s="9" t="str"/>
      <x:c r="J17" s="9" t="str">
        <x:v>1 1/2 cups pineapple juice and matching blender step.</x:v>
      </x:c>
    </x:row>
    <x:row r="18" ht="39" customHeight="1">
      <x:c r="A18" s="10" t="str">
        <x:v>S06</x:v>
      </x:c>
      <x:c r="B18" s="10" t="str">
        <x:v>Substitution</x:v>
      </x:c>
      <x:c r="C18" s="10" t="str">
        <x:v>144299</x:v>
      </x:c>
      <x:c r="D18" s="10" t="str">
        <x:v>I used 1/4 cup tamari in place of the soy sauce.</x:v>
      </x:c>
      <x:c r="E18" s="10" t="str">
        <x:v>Tamari 1/4 cup replaces soy sauce in ingredients and simmering step. Preserve all unrelated ingredients and instructions.</x:v>
      </x:c>
      <x:c r="F18" s="10" t="str">
        <x:v>applied</x:v>
      </x:c>
      <x:c r="G18" s="10" t="str">
        <x:v>applied</x:v>
      </x:c>
      <x:c r="H18" s="10" t="str">
        <x:v>Correct</x:v>
      </x:c>
      <x:c r="I18" s="10" t="str"/>
      <x:c r="J18" s="10" t="str">
        <x:v>1/4 cup tamari and matching simmering step.</x:v>
      </x:c>
    </x:row>
    <x:row r="19" ht="54" customHeight="1">
      <x:c r="A19" s="9" t="str">
        <x:v>M01</x:v>
      </x:c>
      <x:c r="B19" s="9" t="str">
        <x:v>Multiple changes</x:v>
      </x:c>
      <x:c r="C19" s="9" t="str">
        <x:v>10813</x:v>
      </x:c>
      <x:c r="D19" s="9" t="str">
        <x:v>I used 3/4 cup white sugar and 3 eggs. I also swapped the walnuts for 1 cup chopped pecans.</x:v>
      </x:c>
      <x:c r="E19" s="9" t="str">
        <x:v>White sugar 3/4 cup, eggs 3, pecans 1 cup instead of walnuts with matching mixing step. Preserve all unrelated ingredients and instructions.</x:v>
      </x:c>
      <x:c r="F19" s="9" t="str">
        <x:v>applied</x:v>
      </x:c>
      <x:c r="G19" s="9" t="str">
        <x:v>applied</x:v>
      </x:c>
      <x:c r="H19" s="9" t="str">
        <x:v>Correct</x:v>
      </x:c>
      <x:c r="I19" s="9" t="str"/>
      <x:c r="J19" s="9" t="str">
        <x:v>All three changes present: 3/4 cup white sugar, 3 eggs, 1 cup pecans; walnut use removed.</x:v>
      </x:c>
    </x:row>
    <x:row r="20" ht="69" customHeight="1">
      <x:c r="A20" s="10" t="str">
        <x:v>M02</x:v>
      </x:c>
      <x:c r="B20" s="10" t="str">
        <x:v>Multiple changes</x:v>
      </x:c>
      <x:c r="C20" s="10" t="str">
        <x:v>10813</x:v>
      </x:c>
      <x:c r="D20" s="10" t="str">
        <x:v>I used 2 1/2 cups flour, left out the walnuts, and mixed 1 teaspoon cinnamon into the batter. I refrigerated the dough for 45 minutes before dropping spoonfuls onto the baking sheets.</x:v>
      </x:c>
      <x:c r="E20" s="10" t="str">
        <x:v>Flour 2 1/2 cups; walnuts absent from ingredients and steps; cinnamon 1 teaspoon with use step; refrigerate 45 minutes before spooning dough. Preserve all unrelated ingredients and instructions.</x:v>
      </x:c>
      <x:c r="F20" s="10" t="str">
        <x:v>applied</x:v>
      </x:c>
      <x:c r="G20" s="10" t="str">
        <x:v>needs_review</x:v>
      </x:c>
      <x:c r="H20" s="10" t="str">
        <x:v>Incomplete plan</x:v>
      </x:c>
      <x:c r="I20" s="10" t="str">
        <x:v>H04</x:v>
      </x:c>
      <x:c r="J20" s="10" t="str">
        <x:v>Valid request not completed: chilling occurs before mixing is finished, or cinnamon is missing from ingredients.</x:v>
      </x:c>
    </x:row>
    <x:row r="21" ht="54" customHeight="1">
      <x:c r="A21" s="9" t="str">
        <x:v>M03</x:v>
      </x:c>
      <x:c r="B21" s="9" t="str">
        <x:v>Multiple changes</x:v>
      </x:c>
      <x:c r="C21" s="9" t="str">
        <x:v>45613</x:v>
      </x:c>
      <x:c r="D21" s="9" t="str">
        <x:v>I used only 1 cup of mango nectar, replaced the cherries with 1/2 cup dried cranberries, and marinated the meat in the refrigerator for at least 4 hours instead of 2.</x:v>
      </x:c>
      <x:c r="E21" s="9" t="str">
        <x:v>Mango nectar 1 cup; dried cranberries 1/2 cup replace cherries in blender; refrigerated marination at least 4 hours. Preserve all unrelated ingredients and instructions.</x:v>
      </x:c>
      <x:c r="F21" s="9" t="str">
        <x:v>applied</x:v>
      </x:c>
      <x:c r="G21" s="9" t="str">
        <x:v>needs_review</x:v>
      </x:c>
      <x:c r="H21" s="9" t="str">
        <x:v>False rejection</x:v>
      </x:c>
      <x:c r="I21" s="9" t="str">
        <x:v>H05</x:v>
      </x:c>
      <x:c r="J21" s="9" t="str">
        <x:v>Valid request withheld after grammar-only change from '1 cups' to '1 cup' violates the exact calculated-text lock.</x:v>
      </x:c>
    </x:row>
    <x:row r="22" ht="54" customHeight="1">
      <x:c r="A22" s="10" t="str">
        <x:v>M04</x:v>
      </x:c>
      <x:c r="B22" s="10" t="str">
        <x:v>Multiple changes</x:v>
      </x:c>
      <x:c r="C22" s="10" t="str">
        <x:v>77935</x:v>
      </x:c>
      <x:c r="D22" s="10" t="str">
        <x:v>I used 3 cups vegetable broth instead of chicken broth, reduced the ground ginger to 1 teaspoon, and omitted the peanut garnish.</x:v>
      </x:c>
      <x:c r="E22" s="10" t="str">
        <x:v>Vegetable broth 3 cups; ground ginger 1 teaspoon; peanuts absent, no peanut garnish instruction remains. Preserve all unrelated ingredients and instructions.</x:v>
      </x:c>
      <x:c r="F22" s="10" t="str">
        <x:v>applied</x:v>
      </x:c>
      <x:c r="G22" s="10" t="str">
        <x:v>needs_review</x:v>
      </x:c>
      <x:c r="H22" s="10" t="str">
        <x:v>Incomplete plan</x:v>
      </x:c>
      <x:c r="I22" s="10" t="str">
        <x:v>H02</x:v>
      </x:c>
      <x:c r="J22" s="10" t="str">
        <x:v>Valid request withheld because the description still mentions the removed peanut garnish.</x:v>
      </x:c>
    </x:row>
    <x:row r="23" ht="39" customHeight="1">
      <x:c r="A23" s="9" t="str">
        <x:v>T01</x:v>
      </x:c>
      <x:c r="B23" s="9" t="str">
        <x:v>Technique</x:v>
      </x:c>
      <x:c r="C23" s="9" t="str">
        <x:v>10813</x:v>
      </x:c>
      <x:c r="D23" s="9" t="str">
        <x:v>I baked the cookies for 12 minutes instead of 10 minutes, at the same temperature.</x:v>
      </x:c>
      <x:c r="E23" s="9" t="str">
        <x:v>Baking time 12 minutes, temperature unchanged. Preserve all unrelated ingredients and instructions.</x:v>
      </x:c>
      <x:c r="F23" s="9" t="str">
        <x:v>applied</x:v>
      </x:c>
      <x:c r="G23" s="9" t="str">
        <x:v>needs_review</x:v>
      </x:c>
      <x:c r="H23" s="9" t="str">
        <x:v>False rejection</x:v>
      </x:c>
      <x:c r="I23" s="9" t="str">
        <x:v>H03</x:v>
      </x:c>
      <x:c r="J23" s="9" t="str">
        <x:v>Baking time classified as an ingredient quantity; no ingredient named baking time.</x:v>
      </x:c>
    </x:row>
    <x:row r="24" ht="39" customHeight="1">
      <x:c r="A24" s="10" t="str">
        <x:v>T02</x:v>
      </x:c>
      <x:c r="B24" s="10" t="str">
        <x:v>Technique</x:v>
      </x:c>
      <x:c r="C24" s="10" t="str">
        <x:v>45613</x:v>
      </x:c>
      <x:c r="D24" s="10" t="str">
        <x:v>I refrigerated the meat in the marinade for at least 4 hours instead of at least 2 hours.</x:v>
      </x:c>
      <x:c r="E24" s="10" t="str">
        <x:v>Refrigerated marination at least 4 hours; ingredients unchanged. Preserve all unrelated ingredients and instructions.</x:v>
      </x:c>
      <x:c r="F24" s="10" t="str">
        <x:v>applied</x:v>
      </x:c>
      <x:c r="G24" s="10" t="str">
        <x:v>needs_review</x:v>
      </x:c>
      <x:c r="H24" s="10" t="str">
        <x:v>False rejection</x:v>
      </x:c>
      <x:c r="I24" s="10" t="str">
        <x:v>H03</x:v>
      </x:c>
      <x:c r="J24" s="10" t="str">
        <x:v>Marination time classified as an ingredient quantity; no ingredient named marinate time.</x:v>
      </x:c>
    </x:row>
    <x:row r="25" ht="54" customHeight="1">
      <x:c r="A25" s="9" t="str">
        <x:v>T03</x:v>
      </x:c>
      <x:c r="B25" s="9" t="str">
        <x:v>Technique</x:v>
      </x:c>
      <x:c r="C25" s="9" t="str">
        <x:v>10813</x:v>
      </x:c>
      <x:c r="D25" s="9" t="str">
        <x:v>I chilled the finished dough for 20 minutes before dropping spoonfuls onto the baking sheets.</x:v>
      </x:c>
      <x:c r="E25" s="9" t="str">
        <x:v>Chill finished dough 20 minutes before dropping spoonfuls; baking unchanged. Preserve all unrelated ingredients and instructions.</x:v>
      </x:c>
      <x:c r="F25" s="9" t="str">
        <x:v>applied</x:v>
      </x:c>
      <x:c r="G25" s="9" t="str">
        <x:v>applied</x:v>
      </x:c>
      <x:c r="H25" s="9" t="str">
        <x:v>Correct</x:v>
      </x:c>
      <x:c r="I25" s="9" t="str"/>
      <x:c r="J25" s="9" t="str">
        <x:v>Finished dough chilled 20 minutes before spooning; baking preserved.</x:v>
      </x:c>
    </x:row>
    <x:row r="26" ht="39" customHeight="1">
      <x:c r="A26" s="10" t="str">
        <x:v>A01</x:v>
      </x:c>
      <x:c r="B26" s="10" t="str">
        <x:v>Addition</x:v>
      </x:c>
      <x:c r="C26" s="10" t="str">
        <x:v>10813</x:v>
      </x:c>
      <x:c r="D26" s="10" t="str">
        <x:v>I added 1 teaspoon finely grated orange zest when stirring in the flour.</x:v>
      </x:c>
      <x:c r="E26" s="10" t="str">
        <x:v>Orange zest 1 teaspoon added to ingredients and flour mixing step. Preserve all unrelated ingredients and instructions.</x:v>
      </x:c>
      <x:c r="F26" s="10" t="str">
        <x:v>applied</x:v>
      </x:c>
      <x:c r="G26" s="10" t="str">
        <x:v>needs_review</x:v>
      </x:c>
      <x:c r="H26" s="10" t="str">
        <x:v>False rejection</x:v>
      </x:c>
      <x:c r="I26" s="10" t="str">
        <x:v>H06</x:v>
      </x:c>
      <x:c r="J26" s="10" t="str">
        <x:v>Valid orange-zest use rejected because the short ingredient name omits finely grated.</x:v>
      </x:c>
    </x:row>
    <x:row r="27" ht="54" customHeight="1">
      <x:c r="A27" s="9" t="str">
        <x:v>A02</x:v>
      </x:c>
      <x:c r="B27" s="9" t="str">
        <x:v>Addition</x:v>
      </x:c>
      <x:c r="C27" s="9" t="str">
        <x:v>77935</x:v>
      </x:c>
      <x:c r="D27" s="9" t="str">
        <x:v>I stirred in 1 tablespoon chopped fresh parsley just before serving.</x:v>
      </x:c>
      <x:c r="E27" s="9" t="str">
        <x:v>Fresh parsley 1 tablespoon added to ingredients and finishing step before serving. Preserve all unrelated ingredients and instructions.</x:v>
      </x:c>
      <x:c r="F27" s="9" t="str">
        <x:v>applied</x:v>
      </x:c>
      <x:c r="G27" s="9" t="str">
        <x:v>applied</x:v>
      </x:c>
      <x:c r="H27" s="9" t="str">
        <x:v>Incorrect publication</x:v>
      </x:c>
      <x:c r="I27" s="9" t="str">
        <x:v>H01</x:v>
      </x:c>
      <x:c r="J27" s="9" t="str">
        <x:v>Parsley is added as a garnish, although the source review explicitly says it was stirred into the soup.</x:v>
      </x:c>
    </x:row>
    <x:row r="28" ht="39" customHeight="1">
      <x:c r="A28" s="10" t="str">
        <x:v>R01</x:v>
      </x:c>
      <x:c r="B28" s="10" t="str">
        <x:v>Removal</x:v>
      </x:c>
      <x:c r="C28" s="10" t="str">
        <x:v>45613</x:v>
      </x:c>
      <x:c r="D28" s="10" t="str">
        <x:v>I left out the garlic entirely.</x:v>
      </x:c>
      <x:c r="E28" s="10" t="str">
        <x:v>Garlic removed from ingredients and blender step. Preserve all unrelated ingredients and instructions.</x:v>
      </x:c>
      <x:c r="F28" s="10" t="str">
        <x:v>applied</x:v>
      </x:c>
      <x:c r="G28" s="10" t="str">
        <x:v>applied</x:v>
      </x:c>
      <x:c r="H28" s="10" t="str">
        <x:v>Correct</x:v>
      </x:c>
      <x:c r="I28" s="10" t="str"/>
      <x:c r="J28" s="10" t="str">
        <x:v>Garlic removed from ingredient and blender instruction.</x:v>
      </x:c>
    </x:row>
    <x:row r="29" ht="39" customHeight="1">
      <x:c r="A29" s="9" t="str">
        <x:v>N01</x:v>
      </x:c>
      <x:c r="B29" s="9" t="str">
        <x:v>No change</x:v>
      </x:c>
      <x:c r="C29" s="9" t="str">
        <x:v>10813</x:v>
      </x:c>
      <x:c r="D29" s="9" t="str">
        <x:v>These cookies were wonderful. My family loved them exactly as written.</x:v>
      </x:c>
      <x:c r="E29" s="9" t="str">
        <x:v>Original unchanged; no enhanced recipe. Preserve all unrelated ingredients and instructions.</x:v>
      </x:c>
      <x:c r="F29" s="9" t="str">
        <x:v>skipped</x:v>
      </x:c>
      <x:c r="G29" s="9" t="str">
        <x:v>skipped</x:v>
      </x:c>
      <x:c r="H29" s="9" t="str">
        <x:v>Correct</x:v>
      </x:c>
      <x:c r="I29" s="9" t="str"/>
      <x:c r="J29" s="9" t="str">
        <x:v>Original preserved; requested abstention was correct.</x:v>
      </x:c>
    </x:row>
    <x:row r="30" ht="39" customHeight="1">
      <x:c r="A30" s="10" t="str">
        <x:v>N02</x:v>
      </x:c>
      <x:c r="B30" s="10" t="str">
        <x:v>Future only</x:v>
      </x:c>
      <x:c r="C30" s="10" t="str">
        <x:v>45613</x:v>
      </x:c>
      <x:c r="D30" s="10" t="str">
        <x:v>Next time I might replace the cherries with cranberries.</x:v>
      </x:c>
      <x:c r="E30" s="10" t="str">
        <x:v>Future suggestion not applied; original unchanged. Preserve all unrelated ingredients and instructions.</x:v>
      </x:c>
      <x:c r="F30" s="10" t="str">
        <x:v>skipped</x:v>
      </x:c>
      <x:c r="G30" s="10" t="str">
        <x:v>skipped</x:v>
      </x:c>
      <x:c r="H30" s="10" t="str">
        <x:v>Correct</x:v>
      </x:c>
      <x:c r="I30" s="10" t="str"/>
      <x:c r="J30" s="10" t="str">
        <x:v>Original preserved; requested abstention was correct.</x:v>
      </x:c>
    </x:row>
    <x:row r="31" ht="39" customHeight="1">
      <x:c r="A31" s="9" t="str">
        <x:v>N03</x:v>
      </x:c>
      <x:c r="B31" s="9" t="str">
        <x:v>Negation</x:v>
      </x:c>
      <x:c r="C31" s="9" t="str">
        <x:v>10813</x:v>
      </x:c>
      <x:c r="D31" s="9" t="str">
        <x:v>I did not leave out the walnuts and I did not change the sugar. I followed the recipe exactly.</x:v>
      </x:c>
      <x:c r="E31" s="9" t="str">
        <x:v>Negated changes not applied; original unchanged. Preserve all unrelated ingredients and instructions.</x:v>
      </x:c>
      <x:c r="F31" s="9" t="str">
        <x:v>skipped</x:v>
      </x:c>
      <x:c r="G31" s="9" t="str">
        <x:v>skipped</x:v>
      </x:c>
      <x:c r="H31" s="9" t="str">
        <x:v>Correct</x:v>
      </x:c>
      <x:c r="I31" s="9" t="str"/>
      <x:c r="J31" s="9" t="str">
        <x:v>Original preserved; requested abstention was correct.</x:v>
      </x:c>
    </x:row>
    <x:row r="32" ht="39" customHeight="1">
      <x:c r="A32" s="10" t="str">
        <x:v>N04</x:v>
      </x:c>
      <x:c r="B32" s="10" t="str">
        <x:v>Already satisfied</x:v>
      </x:c>
      <x:c r="C32" s="10" t="str">
        <x:v>10813</x:v>
      </x:c>
      <x:c r="D32" s="10" t="str">
        <x:v>I used exactly 1 cup of white sugar, just as the ingredient list says.</x:v>
      </x:c>
      <x:c r="E32" s="10" t="str">
        <x:v>Already-satisfied quantity generates no edit; original unchanged. Preserve all unrelated ingredients and instructions.</x:v>
      </x:c>
      <x:c r="F32" s="10" t="str">
        <x:v>skipped</x:v>
      </x:c>
      <x:c r="G32" s="10" t="str">
        <x:v>skipped</x:v>
      </x:c>
      <x:c r="H32" s="10" t="str">
        <x:v>Correct</x:v>
      </x:c>
      <x:c r="I32" s="10" t="str"/>
      <x:c r="J32" s="10" t="str">
        <x:v>Original preserved; requested abstention was correct.</x:v>
      </x:c>
    </x:row>
    <x:row r="33" ht="39" customHeight="1">
      <x:c r="A33" s="9" t="str">
        <x:v>N05</x:v>
      </x:c>
      <x:c r="B33" s="9" t="str">
        <x:v>Ambiguous</x:v>
      </x:c>
      <x:c r="C33" s="9" t="str">
        <x:v>10813</x:v>
      </x:c>
      <x:c r="D33" s="9" t="str">
        <x:v>I reduced the sugar to half a cup.</x:v>
      </x:c>
      <x:c r="E33" s="9" t="str">
        <x:v>White versus brown sugar unresolved; original unchanged. Preserve all unrelated ingredients and instructions.</x:v>
      </x:c>
      <x:c r="F33" s="9" t="str">
        <x:v>needs_review</x:v>
      </x:c>
      <x:c r="G33" s="9" t="str">
        <x:v>needs_review</x:v>
      </x:c>
      <x:c r="H33" s="9" t="str">
        <x:v>Correct</x:v>
      </x:c>
      <x:c r="I33" s="9" t="str"/>
      <x:c r="J33" s="9" t="str">
        <x:v>Original preserved; requested abstention was correct.</x:v>
      </x:c>
    </x:row>
    <x:row r="34" ht="39" customHeight="1">
      <x:c r="A34" s="10" t="str">
        <x:v>N06</x:v>
      </x:c>
      <x:c r="B34" s="10" t="str">
        <x:v>Ambiguous</x:v>
      </x:c>
      <x:c r="C34" s="10" t="str">
        <x:v>19117</x:v>
      </x:c>
      <x:c r="D34" s="10" t="str">
        <x:v>I halved the shortening.</x:v>
      </x:c>
      <x:c r="E34" s="10" t="str">
        <x:v>Batter versus frosting shortening unresolved; original unchanged. Preserve all unrelated ingredients and instructions.</x:v>
      </x:c>
      <x:c r="F34" s="10" t="str">
        <x:v>needs_review</x:v>
      </x:c>
      <x:c r="G34" s="10" t="str">
        <x:v>needs_review</x:v>
      </x:c>
      <x:c r="H34" s="10" t="str">
        <x:v>Correct</x:v>
      </x:c>
      <x:c r="I34" s="10" t="str"/>
      <x:c r="J34" s="10" t="str">
        <x:v>Original preserved; requested abstention was correct.</x:v>
      </x:c>
    </x:row>
    <x:row r="35" ht="39" customHeight="1">
      <x:c r="A35" s="9" t="str">
        <x:v>N07</x:v>
      </x:c>
      <x:c r="B35" s="9" t="str">
        <x:v>Conflicting</x:v>
      </x:c>
      <x:c r="C35" s="9" t="str">
        <x:v>10813</x:v>
      </x:c>
      <x:c r="D35" s="9" t="str">
        <x:v>I cannot remember whether I used 1 egg or 4 eggs instead of 2.</x:v>
      </x:c>
      <x:c r="E35" s="9" t="str">
        <x:v>Uncertain egg quantity withheld; original unchanged. Preserve all unrelated ingredients and instructions.</x:v>
      </x:c>
      <x:c r="F35" s="9" t="str">
        <x:v>needs_review</x:v>
      </x:c>
      <x:c r="G35" s="9" t="str">
        <x:v>needs_review</x:v>
      </x:c>
      <x:c r="H35" s="9" t="str">
        <x:v>Correct</x:v>
      </x:c>
      <x:c r="I35" s="9" t="str"/>
      <x:c r="J35" s="9" t="str">
        <x:v>Original preserved; requested abstention was correct.</x:v>
      </x:c>
    </x:row>
    <x:row r="36" ht="39" customHeight="1">
      <x:c r="A36" s="10" t="str">
        <x:v>N08</x:v>
      </x:c>
      <x:c r="B36" s="10" t="str">
        <x:v>Unspecified substitution</x:v>
      </x:c>
      <x:c r="C36" s="10" t="str">
        <x:v>10813</x:v>
      </x:c>
      <x:c r="D36" s="10" t="str">
        <x:v>I replaced the butter with oil, but I did not measure the oil and cannot say how much I used.</x:v>
      </x:c>
      <x:c r="E36" s="10" t="str">
        <x:v>No invented oil quantity; original unchanged pending clarification. Preserve all unrelated ingredients and instructions.</x:v>
      </x:c>
      <x:c r="F36" s="10" t="str">
        <x:v>needs_review</x:v>
      </x:c>
      <x:c r="G36" s="10" t="str">
        <x:v>needs_review</x:v>
      </x:c>
      <x:c r="H36" s="10" t="str">
        <x:v>Correct</x:v>
      </x:c>
      <x:c r="I36" s="10" t="str"/>
      <x:c r="J36" s="10" t="str">
        <x:v>Original preserved; requested abstention was correct.</x:v>
      </x:c>
    </x:row>
    <x:row r="37" ht="39" customHeight="1">
      <x:c r="A37" s="9" t="str">
        <x:v>U01</x:v>
      </x:c>
      <x:c r="B37" s="9" t="str">
        <x:v>Unsupported conversion</x:v>
      </x:c>
      <x:c r="C37" s="9" t="str">
        <x:v>10813</x:v>
      </x:c>
      <x:c r="D37" s="9" t="str">
        <x:v>I reduced the flour by 100 grams, but I do not know the flour's weight per cup.</x:v>
      </x:c>
      <x:c r="E37" s="9" t="str">
        <x:v>Unsupported mass-to-volume conversion withheld; original unchanged. Preserve all unrelated ingredients and instructions.</x:v>
      </x:c>
      <x:c r="F37" s="9" t="str">
        <x:v>needs_review</x:v>
      </x:c>
      <x:c r="G37" s="9" t="str">
        <x:v>needs_review</x:v>
      </x:c>
      <x:c r="H37" s="9" t="str">
        <x:v>Correct</x:v>
      </x:c>
      <x:c r="I37" s="9" t="str"/>
      <x:c r="J37" s="9" t="str">
        <x:v>Original preserved; requested abstention was correct.</x:v>
      </x:c>
    </x:row>
    <x:row r="38" ht="54" customHeight="1">
      <x:c r="A38" s="10" t="str">
        <x:v>U02</x:v>
      </x:c>
      <x:c r="B38" s="10" t="str">
        <x:v>Unsupported count unit</x:v>
      </x:c>
      <x:c r="C38" s="10" t="str">
        <x:v>144299</x:v>
      </x:c>
      <x:c r="D38" s="10" t="str">
        <x:v>I used 6 potatoes instead of 4 potatoes.</x:v>
      </x:c>
      <x:c r="E38" s="10" t="str">
        <x:v>Current quantity parser does not support potato counts; needs_review, no partial edits. Preserve all unrelated ingredients and instructions.</x:v>
      </x:c>
      <x:c r="F38" s="10" t="str">
        <x:v>needs_review</x:v>
      </x:c>
      <x:c r="G38" s="10" t="str">
        <x:v>needs_review</x:v>
      </x:c>
      <x:c r="H38" s="10" t="str">
        <x:v>Correct</x:v>
      </x:c>
      <x:c r="I38" s="10" t="str"/>
      <x:c r="J38" s="10" t="str">
        <x:v>Original preserved; requested abstention was correct.</x:v>
      </x:c>
    </x:row>
    <x:row r="39" ht="54" customHeight="1">
      <x:c r="A39" s="9" t="str">
        <x:v>U03</x:v>
      </x:c>
      <x:c r="B39" s="9" t="str">
        <x:v>Invalid quantity</x:v>
      </x:c>
      <x:c r="C39" s="9" t="str">
        <x:v>10813</x:v>
      </x:c>
      <x:c r="D39" s="9" t="str">
        <x:v>I multiplied the amount of white sugar by zero.</x:v>
      </x:c>
      <x:c r="E39" s="9" t="str">
        <x:v>Nonpositive quantity rejected rather than silently removing the ingredient. Preserve all unrelated ingredients and instructions.</x:v>
      </x:c>
      <x:c r="F39" s="9" t="str">
        <x:v>needs_review</x:v>
      </x:c>
      <x:c r="G39" s="9" t="str">
        <x:v>needs_review</x:v>
      </x:c>
      <x:c r="H39" s="9" t="str">
        <x:v>Correct</x:v>
      </x:c>
      <x:c r="I39" s="9" t="str"/>
      <x:c r="J39" s="9" t="str">
        <x:v>Original preserved; requested abstention was correct.</x:v>
      </x:c>
    </x:row>
    <x:row r="40" ht="39" customHeight="1">
      <x:c r="A40" s="10" t="str">
        <x:v>U04</x:v>
      </x:c>
      <x:c r="B40" s="10" t="str">
        <x:v>Invalid quantity</x:v>
      </x:c>
      <x:c r="C40" s="10" t="str">
        <x:v>10813</x:v>
      </x:c>
      <x:c r="D40" s="10" t="str">
        <x:v>I used minus one cup of white sugar.</x:v>
      </x:c>
      <x:c r="E40" s="10" t="str">
        <x:v>Negative quantity rejected; original unchanged. Preserve all unrelated ingredients and instructions.</x:v>
      </x:c>
      <x:c r="F40" s="10" t="str">
        <x:v>needs_review</x:v>
      </x:c>
      <x:c r="G40" s="10" t="str">
        <x:v>needs_review</x:v>
      </x:c>
      <x:c r="H40" s="10" t="str">
        <x:v>Correct</x:v>
      </x:c>
      <x:c r="I40" s="10" t="str"/>
      <x:c r="J40" s="10" t="str">
        <x:v>Original preserved; requested abstention was correct.</x:v>
      </x:c>
    </x:row>
  </x:sheetData>
  <x:conditionalFormatting sqref="H5:H40">
    <x:cfRule type="containsText" dxfId="0" priority="1" operator="containsText" text="Incorrect publication"/>
    <x:cfRule type="containsText" dxfId="1" priority="2" operator="containsText" text="False rejection"/>
  </x:conditionalFormatting>
  <x:pageMargins left="0.7" right="0.7" top="0.75" bottom="0.75" header="0.3" footer="0.3"/>
  <x:tableParts count="1">
    <x:tablePart xmlns:r="http://schemas.openxmlformats.org/officeDocument/2006/relationships" r:id="Rc052b781323245e2"/>
  </x:tableParts>
</x:worksheet>
</file>

<file path=xl/worksheets/sheet3.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0" hidden="0" customWidth="1"/>
    <x:col min="2" max="2" width="9" hidden="0" customWidth="1"/>
    <x:col min="3" max="3" width="20" hidden="0" customWidth="1"/>
    <x:col min="4" max="4" width="20" hidden="0" customWidth="1"/>
    <x:col min="5" max="5" width="25" hidden="0" customWidth="1"/>
    <x:col min="6" max="6" width="12" hidden="0" customWidth="1"/>
    <x:col min="7" max="7" width="12" hidden="0" customWidth="1"/>
    <x:col min="8" max="8" width="10" hidden="0" customWidth="1"/>
    <x:col min="9" max="9" width="12" hidden="0" customWidth="1"/>
    <x:col min="10" max="10" width="19" hidden="0" customWidth="1"/>
    <x:col min="11" max="11" width="22" hidden="0" customWidth="1"/>
    <x:col min="12" max="12" width="15" hidden="0" customWidth="1"/>
    <x:col min="13" max="13" width="70" hidden="0" customWidth="1"/>
    <x:col min="14" max="14" width="105" hidden="0" customWidth="1"/>
  </x:cols>
  <x:sheetData>
    <x:row r="1" ht="28" customHeight="1">
      <x:c r="A1" s="2" t="str">
        <x:v>Individual request results</x:v>
      </x:c>
      <x:c r="B1" s="1"/>
      <x:c r="C1" s="1"/>
      <x:c r="D1" s="1"/>
      <x:c r="E1" s="1"/>
      <x:c r="F1" s="1"/>
      <x:c r="G1" s="1"/>
      <x:c r="H1" s="1"/>
      <x:c r="I1" s="1"/>
      <x:c r="J1" s="1"/>
      <x:c r="K1" s="1"/>
      <x:c r="L1" s="1"/>
      <x:c r="M1" s="1"/>
      <x:c r="N1" s="1"/>
    </x:row>
    <x:row r="2">
      <x:c r="A2" s="3" t="str">
        <x:v>56 localhost requests. Assessments include semantic review; HTTP 200 alone is not success.</x:v>
      </x:c>
      <x:c r="B2" s="1"/>
      <x:c r="C2" s="1"/>
      <x:c r="D2" s="1"/>
      <x:c r="E2" s="1"/>
      <x:c r="F2" s="1"/>
      <x:c r="G2" s="1"/>
      <x:c r="H2" s="1"/>
      <x:c r="I2" s="1"/>
      <x:c r="J2" s="1"/>
      <x:c r="K2" s="1"/>
      <x:c r="L2" s="1"/>
      <x:c r="M2" s="1"/>
      <x:c r="N2" s="1"/>
    </x:row>
    <x:row r="3">
      <x:c r="A3" s="4"/>
      <x:c r="B3" s="4"/>
      <x:c r="C3" s="4"/>
      <x:c r="D3" s="4"/>
      <x:c r="E3" s="4"/>
      <x:c r="F3" s="4"/>
      <x:c r="G3" s="4"/>
      <x:c r="H3" s="4"/>
      <x:c r="I3" s="4"/>
      <x:c r="J3" s="4"/>
      <x:c r="K3" s="4"/>
      <x:c r="L3" s="4"/>
      <x:c r="M3" s="4"/>
      <x:c r="N3" s="4"/>
    </x:row>
    <x:row r="4" ht="34" customHeight="1">
      <x:c r="A4" s="7" t="str">
        <x:v>Case</x:v>
      </x:c>
      <x:c r="B4" s="7" t="str">
        <x:v>Run</x:v>
      </x:c>
      <x:c r="C4" s="7" t="str">
        <x:v>Expected status</x:v>
      </x:c>
      <x:c r="D4" s="7" t="str">
        <x:v>Actual status</x:v>
      </x:c>
      <x:c r="E4" s="7" t="str">
        <x:v>Assessment</x:v>
      </x:c>
      <x:c r="F4" s="7" t="str">
        <x:v>Severity</x:v>
      </x:c>
      <x:c r="G4" s="7" t="str">
        <x:v>Issue</x:v>
      </x:c>
      <x:c r="H4" s="7" t="str">
        <x:v>HTTP</x:v>
      </x:c>
      <x:c r="I4" s="7" t="str">
        <x:v>Seconds</x:v>
      </x:c>
      <x:c r="J4" s="7" t="str">
        <x:v>Recorded planning calls</x:v>
      </x:c>
      <x:c r="K4" s="7" t="str">
        <x:v>Recorded planning tokens</x:v>
      </x:c>
      <x:c r="L4" s="7" t="str">
        <x:v>Repair used</x:v>
      </x:c>
      <x:c r="M4" s="7" t="str">
        <x:v>Observed result</x:v>
      </x:c>
      <x:c r="N4" s="7" t="str">
        <x:v>Validation message</x:v>
      </x:c>
    </x:row>
    <x:row r="5" ht="32" customHeight="1">
      <x:c r="A5" s="9" t="str">
        <x:v>Q01</x:v>
      </x:c>
      <x:c r="B5" s="9" t="n">
        <x:v>1</x:v>
      </x:c>
      <x:c r="C5" s="9" t="str">
        <x:v>applied</x:v>
      </x:c>
      <x:c r="D5" s="9" t="str">
        <x:v>applied</x:v>
      </x:c>
      <x:c r="E5" s="9" t="str">
        <x:v>Correct</x:v>
      </x:c>
      <x:c r="F5" s="9" t="str">
        <x:v>None</x:v>
      </x:c>
      <x:c r="G5" s="9" t="str"/>
      <x:c r="H5" s="9" t="n">
        <x:v>200</x:v>
      </x:c>
      <x:c r="I5" s="11" t="n">
        <x:v>5.95</x:v>
      </x:c>
      <x:c r="J5" s="13" t="n">
        <x:v>3</x:v>
      </x:c>
      <x:c r="K5" s="13" t="n">
        <x:v>3423</x:v>
      </x:c>
      <x:c r="L5" s="21" t="str">
        <x:v>No</x:v>
      </x:c>
      <x:c r="M5" s="9" t="str">
        <x:v>White sugar 3/4 cup; brown sugar preserved.</x:v>
      </x:c>
      <x:c r="N5" s="9" t="str"/>
    </x:row>
    <x:row r="6" ht="32" customHeight="1">
      <x:c r="A6" s="10" t="str">
        <x:v>Q02</x:v>
      </x:c>
      <x:c r="B6" s="10" t="n">
        <x:v>1</x:v>
      </x:c>
      <x:c r="C6" s="10" t="str">
        <x:v>applied</x:v>
      </x:c>
      <x:c r="D6" s="10" t="str">
        <x:v>applied</x:v>
      </x:c>
      <x:c r="E6" s="10" t="str">
        <x:v>Correct</x:v>
      </x:c>
      <x:c r="F6" s="10" t="str">
        <x:v>None</x:v>
      </x:c>
      <x:c r="G6" s="10" t="str"/>
      <x:c r="H6" s="10" t="n">
        <x:v>200</x:v>
      </x:c>
      <x:c r="I6" s="12" t="n">
        <x:v>9</x:v>
      </x:c>
      <x:c r="J6" s="14" t="n">
        <x:v>4</x:v>
      </x:c>
      <x:c r="K6" s="14" t="n">
        <x:v>4915</x:v>
      </x:c>
      <x:c r="L6" s="22" t="str">
        <x:v>Yes</x:v>
      </x:c>
      <x:c r="M6" s="10" t="str">
        <x:v>Flour reduced to 2 cups.</x:v>
      </x:c>
      <x:c r="N6" s="10" t="str"/>
    </x:row>
    <x:row r="7" ht="32" customHeight="1">
      <x:c r="A7" s="9" t="str">
        <x:v>Q03</x:v>
      </x:c>
      <x:c r="B7" s="9" t="n">
        <x:v>1</x:v>
      </x:c>
      <x:c r="C7" s="9" t="str">
        <x:v>applied</x:v>
      </x:c>
      <x:c r="D7" s="9" t="str">
        <x:v>applied</x:v>
      </x:c>
      <x:c r="E7" s="9" t="str">
        <x:v>Correct</x:v>
      </x:c>
      <x:c r="F7" s="9" t="str">
        <x:v>None</x:v>
      </x:c>
      <x:c r="G7" s="9" t="str"/>
      <x:c r="H7" s="9" t="n">
        <x:v>200</x:v>
      </x:c>
      <x:c r="I7" s="11" t="n">
        <x:v>5.19</x:v>
      </x:c>
      <x:c r="J7" s="13" t="n">
        <x:v>4</x:v>
      </x:c>
      <x:c r="K7" s="13" t="n">
        <x:v>4789</x:v>
      </x:c>
      <x:c r="L7" s="21" t="str">
        <x:v>Yes</x:v>
      </x:c>
      <x:c r="M7" s="9" t="str">
        <x:v>Vanilla 4 teaspoons in ingredients and use step.</x:v>
      </x:c>
      <x:c r="N7" s="9" t="str"/>
    </x:row>
    <x:row r="8" ht="32" customHeight="1">
      <x:c r="A8" s="10" t="str">
        <x:v>Q04</x:v>
      </x:c>
      <x:c r="B8" s="10" t="n">
        <x:v>1</x:v>
      </x:c>
      <x:c r="C8" s="10" t="str">
        <x:v>applied</x:v>
      </x:c>
      <x:c r="D8" s="10" t="str">
        <x:v>applied</x:v>
      </x:c>
      <x:c r="E8" s="10" t="str">
        <x:v>Correct</x:v>
      </x:c>
      <x:c r="F8" s="10" t="str">
        <x:v>None</x:v>
      </x:c>
      <x:c r="G8" s="10" t="str"/>
      <x:c r="H8" s="10" t="n">
        <x:v>200</x:v>
      </x:c>
      <x:c r="I8" s="12" t="n">
        <x:v>4.75</x:v>
      </x:c>
      <x:c r="J8" s="14" t="n">
        <x:v>3</x:v>
      </x:c>
      <x:c r="K8" s="14" t="n">
        <x:v>4191</x:v>
      </x:c>
      <x:c r="L8" s="22" t="str">
        <x:v>No</x:v>
      </x:c>
      <x:c r="M8" s="10" t="str">
        <x:v>Chicken broth 4 cups; simmering instructions preserved.</x:v>
      </x:c>
      <x:c r="N8" s="10" t="str"/>
    </x:row>
    <x:row r="9" ht="32" customHeight="1">
      <x:c r="A9" s="9" t="str">
        <x:v>Q05</x:v>
      </x:c>
      <x:c r="B9" s="9" t="n">
        <x:v>1</x:v>
      </x:c>
      <x:c r="C9" s="9" t="str">
        <x:v>applied</x:v>
      </x:c>
      <x:c r="D9" s="9" t="str">
        <x:v>applied</x:v>
      </x:c>
      <x:c r="E9" s="9" t="str">
        <x:v>Correct</x:v>
      </x:c>
      <x:c r="F9" s="9" t="str">
        <x:v>None</x:v>
      </x:c>
      <x:c r="G9" s="9" t="str"/>
      <x:c r="H9" s="9" t="n">
        <x:v>200</x:v>
      </x:c>
      <x:c r="I9" s="11" t="n">
        <x:v>5.84</x:v>
      </x:c>
      <x:c r="J9" s="13" t="n">
        <x:v>4</x:v>
      </x:c>
      <x:c r="K9" s="13" t="n">
        <x:v>4000</x:v>
      </x:c>
      <x:c r="L9" s="21" t="str">
        <x:v>Yes</x:v>
      </x:c>
      <x:c r="M9" s="9" t="str">
        <x:v>Cherries 1/2 cup in ingredients and blender step.</x:v>
      </x:c>
      <x:c r="N9" s="9" t="str"/>
    </x:row>
    <x:row r="10" ht="32" customHeight="1">
      <x:c r="A10" s="10" t="str">
        <x:v>Q06</x:v>
      </x:c>
      <x:c r="B10" s="10" t="n">
        <x:v>1</x:v>
      </x:c>
      <x:c r="C10" s="10" t="str">
        <x:v>applied</x:v>
      </x:c>
      <x:c r="D10" s="10" t="str">
        <x:v>applied</x:v>
      </x:c>
      <x:c r="E10" s="10" t="str">
        <x:v>Correct</x:v>
      </x:c>
      <x:c r="F10" s="10" t="str">
        <x:v>None</x:v>
      </x:c>
      <x:c r="G10" s="10" t="str"/>
      <x:c r="H10" s="10" t="n">
        <x:v>200</x:v>
      </x:c>
      <x:c r="I10" s="12" t="n">
        <x:v>6.43</x:v>
      </x:c>
      <x:c r="J10" s="14" t="n">
        <x:v>5</x:v>
      </x:c>
      <x:c r="K10" s="14" t="n">
        <x:v>5712</x:v>
      </x:c>
      <x:c r="L10" s="22" t="str">
        <x:v>Yes</x:v>
      </x:c>
      <x:c r="M10" s="10" t="str">
        <x:v>Sake 1/8 cup in ingredients and simmering step.</x:v>
      </x:c>
      <x:c r="N10" s="10" t="str"/>
    </x:row>
    <x:row r="11" ht="32" customHeight="1">
      <x:c r="A11" s="9" t="str">
        <x:v>Q07</x:v>
      </x:c>
      <x:c r="B11" s="9" t="n">
        <x:v>1</x:v>
      </x:c>
      <x:c r="C11" s="9" t="str">
        <x:v>applied</x:v>
      </x:c>
      <x:c r="D11" s="9" t="str">
        <x:v>applied</x:v>
      </x:c>
      <x:c r="E11" s="9" t="str">
        <x:v>Correct</x:v>
      </x:c>
      <x:c r="F11" s="9" t="str">
        <x:v>None</x:v>
      </x:c>
      <x:c r="G11" s="9" t="str"/>
      <x:c r="H11" s="9" t="n">
        <x:v>200</x:v>
      </x:c>
      <x:c r="I11" s="11" t="n">
        <x:v>5.05</x:v>
      </x:c>
      <x:c r="J11" s="13" t="n">
        <x:v>3</x:v>
      </x:c>
      <x:c r="K11" s="13" t="n">
        <x:v>4079</x:v>
      </x:c>
      <x:c r="L11" s="21" t="str">
        <x:v>No</x:v>
      </x:c>
      <x:c r="M11" s="9" t="str">
        <x:v>Frosting sugar 1 1/2 cups; both batter sugars unchanged.</x:v>
      </x:c>
      <x:c r="N11" s="9" t="str"/>
    </x:row>
    <x:row r="12" ht="32" customHeight="1">
      <x:c r="A12" s="10" t="str">
        <x:v>Q08</x:v>
      </x:c>
      <x:c r="B12" s="10" t="n">
        <x:v>1</x:v>
      </x:c>
      <x:c r="C12" s="10" t="str">
        <x:v>applied</x:v>
      </x:c>
      <x:c r="D12" s="10" t="str">
        <x:v>applied</x:v>
      </x:c>
      <x:c r="E12" s="10" t="str">
        <x:v>Correct</x:v>
      </x:c>
      <x:c r="F12" s="10" t="str">
        <x:v>None</x:v>
      </x:c>
      <x:c r="G12" s="10" t="str"/>
      <x:c r="H12" s="10" t="n">
        <x:v>200</x:v>
      </x:c>
      <x:c r="I12" s="12" t="n">
        <x:v>6.81</x:v>
      </x:c>
      <x:c r="J12" s="14" t="n">
        <x:v>4</x:v>
      </x:c>
      <x:c r="K12" s="14" t="n">
        <x:v>4738</x:v>
      </x:c>
      <x:c r="L12" s="22" t="str">
        <x:v>Yes</x:v>
      </x:c>
      <x:c r="M12" s="10" t="str">
        <x:v>Eggs increased to 3; other ingredients unchanged.</x:v>
      </x:c>
      <x:c r="N12" s="10" t="str"/>
    </x:row>
    <x:row r="13" ht="32" customHeight="1">
      <x:c r="A13" s="9" t="str">
        <x:v>S01</x:v>
      </x:c>
      <x:c r="B13" s="9" t="n">
        <x:v>1</x:v>
      </x:c>
      <x:c r="C13" s="9" t="str">
        <x:v>applied</x:v>
      </x:c>
      <x:c r="D13" s="9" t="str">
        <x:v>applied</x:v>
      </x:c>
      <x:c r="E13" s="9" t="str">
        <x:v>Correct</x:v>
      </x:c>
      <x:c r="F13" s="9" t="str">
        <x:v>None</x:v>
      </x:c>
      <x:c r="G13" s="9" t="str"/>
      <x:c r="H13" s="9" t="n">
        <x:v>200</x:v>
      </x:c>
      <x:c r="I13" s="11" t="n">
        <x:v>6.48</x:v>
      </x:c>
      <x:c r="J13" s="13" t="n">
        <x:v>3</x:v>
      </x:c>
      <x:c r="K13" s="13" t="n">
        <x:v>3395</x:v>
      </x:c>
      <x:c r="L13" s="21" t="str">
        <x:v>No</x:v>
      </x:c>
      <x:c r="M13" s="9" t="str">
        <x:v>Walnuts replaced with 1 cup pecans and mixing step updated.</x:v>
      </x:c>
      <x:c r="N13" s="9" t="str"/>
    </x:row>
    <x:row r="14" ht="32" customHeight="1">
      <x:c r="A14" s="10" t="str">
        <x:v>S02</x:v>
      </x:c>
      <x:c r="B14" s="10" t="n">
        <x:v>1</x:v>
      </x:c>
      <x:c r="C14" s="10" t="str">
        <x:v>applied</x:v>
      </x:c>
      <x:c r="D14" s="10" t="str">
        <x:v>applied</x:v>
      </x:c>
      <x:c r="E14" s="10" t="str">
        <x:v>Correct</x:v>
      </x:c>
      <x:c r="F14" s="10" t="str">
        <x:v>None</x:v>
      </x:c>
      <x:c r="G14" s="10" t="str"/>
      <x:c r="H14" s="10" t="n">
        <x:v>200</x:v>
      </x:c>
      <x:c r="I14" s="12" t="n">
        <x:v>5.03</x:v>
      </x:c>
      <x:c r="J14" s="14" t="n">
        <x:v>3</x:v>
      </x:c>
      <x:c r="K14" s="14" t="n">
        <x:v>3444</x:v>
      </x:c>
      <x:c r="L14" s="22" t="str">
        <x:v>No</x:v>
      </x:c>
      <x:c r="M14" s="10" t="str">
        <x:v>2 cups milk chocolate chips and matching mixing step.</x:v>
      </x:c>
      <x:c r="N14" s="10" t="str"/>
    </x:row>
    <x:row r="15" ht="32" customHeight="1">
      <x:c r="A15" s="9" t="str">
        <x:v>S03</x:v>
      </x:c>
      <x:c r="B15" s="9" t="n">
        <x:v>1</x:v>
      </x:c>
      <x:c r="C15" s="9" t="str">
        <x:v>applied</x:v>
      </x:c>
      <x:c r="D15" s="9" t="str">
        <x:v>applied</x:v>
      </x:c>
      <x:c r="E15" s="9" t="str">
        <x:v>Correct</x:v>
      </x:c>
      <x:c r="F15" s="9" t="str">
        <x:v>None</x:v>
      </x:c>
      <x:c r="G15" s="9" t="str"/>
      <x:c r="H15" s="9" t="n">
        <x:v>200</x:v>
      </x:c>
      <x:c r="I15" s="11" t="n">
        <x:v>6.25</x:v>
      </x:c>
      <x:c r="J15" s="13" t="n">
        <x:v>3</x:v>
      </x:c>
      <x:c r="K15" s="13" t="n">
        <x:v>4169</x:v>
      </x:c>
      <x:c r="L15" s="21" t="str">
        <x:v>No</x:v>
      </x:c>
      <x:c r="M15" s="9" t="str">
        <x:v>3 cups vegetable broth and matching simmering step.</x:v>
      </x:c>
      <x:c r="N15" s="9" t="str"/>
    </x:row>
    <x:row r="16" ht="32" customHeight="1">
      <x:c r="A16" s="10" t="str">
        <x:v>S04</x:v>
      </x:c>
      <x:c r="B16" s="10" t="n">
        <x:v>1</x:v>
      </x:c>
      <x:c r="C16" s="10" t="str">
        <x:v>applied</x:v>
      </x:c>
      <x:c r="D16" s="10" t="str">
        <x:v>applied</x:v>
      </x:c>
      <x:c r="E16" s="10" t="str">
        <x:v>Correct</x:v>
      </x:c>
      <x:c r="F16" s="10" t="str">
        <x:v>None</x:v>
      </x:c>
      <x:c r="G16" s="10" t="str"/>
      <x:c r="H16" s="10" t="n">
        <x:v>200</x:v>
      </x:c>
      <x:c r="I16" s="12" t="n">
        <x:v>5.84</x:v>
      </x:c>
      <x:c r="J16" s="14" t="n">
        <x:v>3</x:v>
      </x:c>
      <x:c r="K16" s="14" t="n">
        <x:v>2791</x:v>
      </x:c>
      <x:c r="L16" s="22" t="str">
        <x:v>No</x:v>
      </x:c>
      <x:c r="M16" s="10" t="str">
        <x:v>3/4 cup cranberries and matching blender step.</x:v>
      </x:c>
      <x:c r="N16" s="10" t="str"/>
    </x:row>
    <x:row r="17" ht="32" customHeight="1">
      <x:c r="A17" s="9" t="str">
        <x:v>S05</x:v>
      </x:c>
      <x:c r="B17" s="9" t="n">
        <x:v>1</x:v>
      </x:c>
      <x:c r="C17" s="9" t="str">
        <x:v>applied</x:v>
      </x:c>
      <x:c r="D17" s="9" t="str">
        <x:v>applied</x:v>
      </x:c>
      <x:c r="E17" s="9" t="str">
        <x:v>Correct</x:v>
      </x:c>
      <x:c r="F17" s="9" t="str">
        <x:v>None</x:v>
      </x:c>
      <x:c r="G17" s="9" t="str"/>
      <x:c r="H17" s="9" t="n">
        <x:v>200</x:v>
      </x:c>
      <x:c r="I17" s="11" t="n">
        <x:v>4.84</x:v>
      </x:c>
      <x:c r="J17" s="13" t="n">
        <x:v>3</x:v>
      </x:c>
      <x:c r="K17" s="13" t="n">
        <x:v>2797</x:v>
      </x:c>
      <x:c r="L17" s="21" t="str">
        <x:v>No</x:v>
      </x:c>
      <x:c r="M17" s="9" t="str">
        <x:v>1 1/2 cups pineapple juice and matching blender step.</x:v>
      </x:c>
      <x:c r="N17" s="9" t="str"/>
    </x:row>
    <x:row r="18" ht="32" customHeight="1">
      <x:c r="A18" s="10" t="str">
        <x:v>S06</x:v>
      </x:c>
      <x:c r="B18" s="10" t="n">
        <x:v>1</x:v>
      </x:c>
      <x:c r="C18" s="10" t="str">
        <x:v>applied</x:v>
      </x:c>
      <x:c r="D18" s="10" t="str">
        <x:v>applied</x:v>
      </x:c>
      <x:c r="E18" s="10" t="str">
        <x:v>Correct</x:v>
      </x:c>
      <x:c r="F18" s="10" t="str">
        <x:v>None</x:v>
      </x:c>
      <x:c r="G18" s="10" t="str"/>
      <x:c r="H18" s="10" t="n">
        <x:v>200</x:v>
      </x:c>
      <x:c r="I18" s="12" t="n">
        <x:v>4.91</x:v>
      </x:c>
      <x:c r="J18" s="14" t="n">
        <x:v>3</x:v>
      </x:c>
      <x:c r="K18" s="14" t="n">
        <x:v>3330</x:v>
      </x:c>
      <x:c r="L18" s="22" t="str">
        <x:v>No</x:v>
      </x:c>
      <x:c r="M18" s="10" t="str">
        <x:v>1/4 cup tamari and matching simmering step.</x:v>
      </x:c>
      <x:c r="N18" s="10" t="str"/>
    </x:row>
    <x:row r="19" ht="39" customHeight="1">
      <x:c r="A19" s="9" t="str">
        <x:v>M01</x:v>
      </x:c>
      <x:c r="B19" s="9" t="n">
        <x:v>1</x:v>
      </x:c>
      <x:c r="C19" s="9" t="str">
        <x:v>applied</x:v>
      </x:c>
      <x:c r="D19" s="9" t="str">
        <x:v>applied</x:v>
      </x:c>
      <x:c r="E19" s="9" t="str">
        <x:v>Correct</x:v>
      </x:c>
      <x:c r="F19" s="9" t="str">
        <x:v>None</x:v>
      </x:c>
      <x:c r="G19" s="9" t="str"/>
      <x:c r="H19" s="9" t="n">
        <x:v>200</x:v>
      </x:c>
      <x:c r="I19" s="11" t="n">
        <x:v>6.39</x:v>
      </x:c>
      <x:c r="J19" s="13" t="n">
        <x:v>3</x:v>
      </x:c>
      <x:c r="K19" s="13" t="n">
        <x:v>3829</x:v>
      </x:c>
      <x:c r="L19" s="21" t="str">
        <x:v>No</x:v>
      </x:c>
      <x:c r="M19" s="9" t="str">
        <x:v>All three changes present: 3/4 cup white sugar, 3 eggs, 1 cup pecans; walnut use removed.</x:v>
      </x:c>
      <x:c r="N19" s="9" t="str"/>
    </x:row>
    <x:row r="20" ht="39" customHeight="1">
      <x:c r="A20" s="10" t="str">
        <x:v>M01</x:v>
      </x:c>
      <x:c r="B20" s="10" t="n">
        <x:v>2</x:v>
      </x:c>
      <x:c r="C20" s="10" t="str">
        <x:v>applied</x:v>
      </x:c>
      <x:c r="D20" s="10" t="str">
        <x:v>applied</x:v>
      </x:c>
      <x:c r="E20" s="10" t="str">
        <x:v>Correct</x:v>
      </x:c>
      <x:c r="F20" s="10" t="str">
        <x:v>None</x:v>
      </x:c>
      <x:c r="G20" s="10" t="str"/>
      <x:c r="H20" s="10" t="n">
        <x:v>200</x:v>
      </x:c>
      <x:c r="I20" s="12" t="n">
        <x:v>6.51</x:v>
      </x:c>
      <x:c r="J20" s="14" t="n">
        <x:v>3</x:v>
      </x:c>
      <x:c r="K20" s="14" t="n">
        <x:v>3859</x:v>
      </x:c>
      <x:c r="L20" s="22" t="str">
        <x:v>No</x:v>
      </x:c>
      <x:c r="M20" s="10" t="str">
        <x:v>All three changes present: 3/4 cup white sugar, 3 eggs, 1 cup pecans; walnut use removed.</x:v>
      </x:c>
      <x:c r="N20" s="10" t="str"/>
    </x:row>
    <x:row r="21" ht="39" customHeight="1">
      <x:c r="A21" s="9" t="str">
        <x:v>M01</x:v>
      </x:c>
      <x:c r="B21" s="9" t="n">
        <x:v>3</x:v>
      </x:c>
      <x:c r="C21" s="9" t="str">
        <x:v>applied</x:v>
      </x:c>
      <x:c r="D21" s="9" t="str">
        <x:v>applied</x:v>
      </x:c>
      <x:c r="E21" s="9" t="str">
        <x:v>Correct</x:v>
      </x:c>
      <x:c r="F21" s="9" t="str">
        <x:v>None</x:v>
      </x:c>
      <x:c r="G21" s="9" t="str"/>
      <x:c r="H21" s="9" t="n">
        <x:v>200</x:v>
      </x:c>
      <x:c r="I21" s="11" t="n">
        <x:v>6.35</x:v>
      </x:c>
      <x:c r="J21" s="13" t="n">
        <x:v>3</x:v>
      </x:c>
      <x:c r="K21" s="13" t="n">
        <x:v>3859</x:v>
      </x:c>
      <x:c r="L21" s="21" t="str">
        <x:v>No</x:v>
      </x:c>
      <x:c r="M21" s="9" t="str">
        <x:v>All three changes present: 3/4 cup white sugar, 3 eggs, 1 cup pecans; walnut use removed.</x:v>
      </x:c>
      <x:c r="N21" s="9" t="str"/>
    </x:row>
    <x:row r="22" ht="39" customHeight="1">
      <x:c r="A22" s="10" t="str">
        <x:v>M01</x:v>
      </x:c>
      <x:c r="B22" s="10" t="n">
        <x:v>4</x:v>
      </x:c>
      <x:c r="C22" s="10" t="str">
        <x:v>applied</x:v>
      </x:c>
      <x:c r="D22" s="10" t="str">
        <x:v>applied</x:v>
      </x:c>
      <x:c r="E22" s="10" t="str">
        <x:v>Correct</x:v>
      </x:c>
      <x:c r="F22" s="10" t="str">
        <x:v>None</x:v>
      </x:c>
      <x:c r="G22" s="10" t="str"/>
      <x:c r="H22" s="10" t="n">
        <x:v>200</x:v>
      </x:c>
      <x:c r="I22" s="12" t="n">
        <x:v>6.05</x:v>
      </x:c>
      <x:c r="J22" s="14" t="n">
        <x:v>3</x:v>
      </x:c>
      <x:c r="K22" s="14" t="n">
        <x:v>3827</x:v>
      </x:c>
      <x:c r="L22" s="22" t="str">
        <x:v>No</x:v>
      </x:c>
      <x:c r="M22" s="10" t="str">
        <x:v>All three changes present: 3/4 cup white sugar, 3 eggs, 1 cup pecans; walnut use removed.</x:v>
      </x:c>
      <x:c r="N22" s="10" t="str"/>
    </x:row>
    <x:row r="23" ht="39" customHeight="1">
      <x:c r="A23" s="9" t="str">
        <x:v>M01</x:v>
      </x:c>
      <x:c r="B23" s="9" t="n">
        <x:v>5</x:v>
      </x:c>
      <x:c r="C23" s="9" t="str">
        <x:v>applied</x:v>
      </x:c>
      <x:c r="D23" s="9" t="str">
        <x:v>applied</x:v>
      </x:c>
      <x:c r="E23" s="9" t="str">
        <x:v>Correct</x:v>
      </x:c>
      <x:c r="F23" s="9" t="str">
        <x:v>None</x:v>
      </x:c>
      <x:c r="G23" s="9" t="str"/>
      <x:c r="H23" s="9" t="n">
        <x:v>200</x:v>
      </x:c>
      <x:c r="I23" s="11" t="n">
        <x:v>5.9</x:v>
      </x:c>
      <x:c r="J23" s="13" t="n">
        <x:v>3</x:v>
      </x:c>
      <x:c r="K23" s="13" t="n">
        <x:v>3859</x:v>
      </x:c>
      <x:c r="L23" s="21" t="str">
        <x:v>No</x:v>
      </x:c>
      <x:c r="M23" s="9" t="str">
        <x:v>All three changes present: 3/4 cup white sugar, 3 eggs, 1 cup pecans; walnut use removed.</x:v>
      </x:c>
      <x:c r="N23" s="9" t="str"/>
    </x:row>
    <x:row r="24" ht="114" customHeight="1">
      <x:c r="A24" s="10" t="str">
        <x:v>M02</x:v>
      </x:c>
      <x:c r="B24" s="10" t="n">
        <x:v>1</x:v>
      </x:c>
      <x:c r="C24" s="10" t="str">
        <x:v>applied</x:v>
      </x:c>
      <x:c r="D24" s="10" t="str">
        <x:v>needs_review</x:v>
      </x:c>
      <x:c r="E24" s="10" t="str">
        <x:v>Incomplete plan</x:v>
      </x:c>
      <x:c r="F24" s="10" t="str">
        <x:v>High</x:v>
      </x:c>
      <x:c r="G24" s="10" t="str">
        <x:v>H04</x:v>
      </x:c>
      <x:c r="H24" s="10" t="n">
        <x:v>200</x:v>
      </x:c>
      <x:c r="I24" s="12" t="n">
        <x:v>9.01</x:v>
      </x:c>
      <x:c r="J24" s="14" t="n">
        <x:v>4</x:v>
      </x:c>
      <x:c r="K24" s="14" t="n">
        <x:v>6162</x:v>
      </x:c>
      <x:c r="L24" s="22" t="str">
        <x:v>Yes</x:v>
      </x:c>
      <x:c r="M24" s="10" t="str">
        <x:v>Valid request not completed: chilling occurs before mixing is finished, or cinnamon is missing from ingredients.</x:v>
      </x:c>
      <x:c r="N24" s="10" t="str">
        <x:v>The candidate recipe adds the instruction to refrigerate the dough for 45 minutes before beating in the eggs and vanilla, but the review states the dough was refrigerated after mixing (before dropping spoonfuls onto the baking sheets). The order of operations is incorrect. The candidate recipe omits the walnuts as required, which is correct. The candidate recipe reduces the flour to 2 1/2 cups, which is correct. The candidate recipe adds 1 teaspoon cinnamon, which is correct. The candidate recipe includes cinnamon as a separate ingredient and also as an instruction to mix into the batter, which is correct. The candidate recipe's instruction order does not match the review's process for chilling the dough.</x:v>
      </x:c>
    </x:row>
    <x:row r="25" ht="39" customHeight="1">
      <x:c r="A25" s="9" t="str">
        <x:v>M02</x:v>
      </x:c>
      <x:c r="B25" s="9" t="n">
        <x:v>2</x:v>
      </x:c>
      <x:c r="C25" s="9" t="str">
        <x:v>applied</x:v>
      </x:c>
      <x:c r="D25" s="9" t="str">
        <x:v>applied</x:v>
      </x:c>
      <x:c r="E25" s="9" t="str">
        <x:v>Correct</x:v>
      </x:c>
      <x:c r="F25" s="9" t="str">
        <x:v>None</x:v>
      </x:c>
      <x:c r="G25" s="9" t="str"/>
      <x:c r="H25" s="9" t="n">
        <x:v>200</x:v>
      </x:c>
      <x:c r="I25" s="11" t="n">
        <x:v>8.79</x:v>
      </x:c>
      <x:c r="J25" s="13" t="n">
        <x:v>4</x:v>
      </x:c>
      <x:c r="K25" s="13" t="n">
        <x:v>6082</x:v>
      </x:c>
      <x:c r="L25" s="21" t="str">
        <x:v>Yes</x:v>
      </x:c>
      <x:c r="M25" s="9" t="str">
        <x:v>2 1/2 cups flour, no walnuts, 1 teaspoon cinnamon with use step; dough chilled 45 minutes before spooning.</x:v>
      </x:c>
      <x:c r="N25" s="9" t="str"/>
    </x:row>
    <x:row r="26" ht="39" customHeight="1">
      <x:c r="A26" s="10" t="str">
        <x:v>M02</x:v>
      </x:c>
      <x:c r="B26" s="10" t="n">
        <x:v>3</x:v>
      </x:c>
      <x:c r="C26" s="10" t="str">
        <x:v>applied</x:v>
      </x:c>
      <x:c r="D26" s="10" t="str">
        <x:v>applied</x:v>
      </x:c>
      <x:c r="E26" s="10" t="str">
        <x:v>Correct</x:v>
      </x:c>
      <x:c r="F26" s="10" t="str">
        <x:v>None</x:v>
      </x:c>
      <x:c r="G26" s="10" t="str"/>
      <x:c r="H26" s="10" t="n">
        <x:v>200</x:v>
      </x:c>
      <x:c r="I26" s="12" t="n">
        <x:v>10.9</x:v>
      </x:c>
      <x:c r="J26" s="14" t="n">
        <x:v>4</x:v>
      </x:c>
      <x:c r="K26" s="14" t="n">
        <x:v>6133</x:v>
      </x:c>
      <x:c r="L26" s="22" t="str">
        <x:v>Yes</x:v>
      </x:c>
      <x:c r="M26" s="10" t="str">
        <x:v>2 1/2 cups flour, no walnuts, 1 teaspoon cinnamon with use step; dough chilled 45 minutes before spooning.</x:v>
      </x:c>
      <x:c r="N26" s="10" t="str"/>
    </x:row>
    <x:row r="27" ht="99" customHeight="1">
      <x:c r="A27" s="9" t="str">
        <x:v>M02</x:v>
      </x:c>
      <x:c r="B27" s="9" t="n">
        <x:v>4</x:v>
      </x:c>
      <x:c r="C27" s="9" t="str">
        <x:v>applied</x:v>
      </x:c>
      <x:c r="D27" s="9" t="str">
        <x:v>needs_review</x:v>
      </x:c>
      <x:c r="E27" s="9" t="str">
        <x:v>Incomplete plan</x:v>
      </x:c>
      <x:c r="F27" s="9" t="str">
        <x:v>High</x:v>
      </x:c>
      <x:c r="G27" s="9" t="str">
        <x:v>H04</x:v>
      </x:c>
      <x:c r="H27" s="9" t="n">
        <x:v>200</x:v>
      </x:c>
      <x:c r="I27" s="11" t="n">
        <x:v>9.88</x:v>
      </x:c>
      <x:c r="J27" s="13" t="n">
        <x:v>4</x:v>
      </x:c>
      <x:c r="K27" s="13" t="n">
        <x:v>6260</x:v>
      </x:c>
      <x:c r="L27" s="21" t="str">
        <x:v>Yes</x:v>
      </x:c>
      <x:c r="M27" s="9" t="str">
        <x:v>Valid request not completed: chilling occurs before mixing is finished, or cinnamon is missing from ingredients.</x:v>
      </x:c>
      <x:c r="N27" s="9" t="str">
        <x:v>Instruction order is incorrect: the dough should be refrigerated after mixing all ingredients, not before eggs/vanilla/baking soda/salt are added. The candidate omits the walnuts as required, which is correct. The cinnamon is added as a separate ingredient and also as a separate instruction, which is acceptable, but the instruction to mix cinnamon into the batter should be integrated with the flour step for clarity. The flour amount is correctly reduced to 2 1/2 cups. No unsupported changes were introduced, but the instruction order is not faithful to the review's process.</x:v>
      </x:c>
    </x:row>
    <x:row r="28" ht="39" customHeight="1">
      <x:c r="A28" s="10" t="str">
        <x:v>M02</x:v>
      </x:c>
      <x:c r="B28" s="10" t="n">
        <x:v>5</x:v>
      </x:c>
      <x:c r="C28" s="10" t="str">
        <x:v>applied</x:v>
      </x:c>
      <x:c r="D28" s="10" t="str">
        <x:v>needs_review</x:v>
      </x:c>
      <x:c r="E28" s="10" t="str">
        <x:v>Incomplete plan</x:v>
      </x:c>
      <x:c r="F28" s="10" t="str">
        <x:v>High</x:v>
      </x:c>
      <x:c r="G28" s="10" t="str">
        <x:v>H04</x:v>
      </x:c>
      <x:c r="H28" s="10" t="n">
        <x:v>200</x:v>
      </x:c>
      <x:c r="I28" s="12" t="n">
        <x:v>10.75</x:v>
      </x:c>
      <x:c r="J28" s="14" t="n">
        <x:v>4</x:v>
      </x:c>
      <x:c r="K28" s="14" t="n">
        <x:v>5976</x:v>
      </x:c>
      <x:c r="L28" s="22" t="str">
        <x:v>Yes</x:v>
      </x:c>
      <x:c r="M28" s="10" t="str">
        <x:v>Valid request not completed: chilling occurs before mixing is finished, or cinnamon is missing from ingredients.</x:v>
      </x:c>
      <x:c r="N28" s="10" t="str">
        <x:v>The instructions call for '1 teaspoon cinnamon' to be stirred into the batter, but cinnamon is not listed in the ingredient list.</x:v>
      </x:c>
    </x:row>
    <x:row r="29" ht="39" customHeight="1">
      <x:c r="A29" s="9" t="str">
        <x:v>M03</x:v>
      </x:c>
      <x:c r="B29" s="9" t="n">
        <x:v>1</x:v>
      </x:c>
      <x:c r="C29" s="9" t="str">
        <x:v>applied</x:v>
      </x:c>
      <x:c r="D29" s="9" t="str">
        <x:v>needs_review</x:v>
      </x:c>
      <x:c r="E29" s="9" t="str">
        <x:v>False rejection</x:v>
      </x:c>
      <x:c r="F29" s="9" t="str">
        <x:v>High</x:v>
      </x:c>
      <x:c r="G29" s="9" t="str">
        <x:v>H05</x:v>
      </x:c>
      <x:c r="H29" s="9" t="n">
        <x:v>200</x:v>
      </x:c>
      <x:c r="I29" s="11" t="n">
        <x:v>8.86</x:v>
      </x:c>
      <x:c r="J29" s="13" t="n">
        <x:v>4</x:v>
      </x:c>
      <x:c r="K29" s="13" t="n">
        <x:v>4956</x:v>
      </x:c>
      <x:c r="L29" s="21" t="str">
        <x:v>Yes</x:v>
      </x:c>
      <x:c r="M29" s="9" t="str">
        <x:v>Valid request withheld after grammar-only change from '1 cups' to '1 cup' violates the exact calculated-text lock.</x:v>
      </x:c>
      <x:c r="N29" s="9" t="str">
        <x:v>Unsupported ingredient quantity edit; Python owns calculated quantities Calculated ingredient must remain exactly '1 cups mango nectar'</x:v>
      </x:c>
    </x:row>
    <x:row r="30" ht="39" customHeight="1">
      <x:c r="A30" s="10" t="str">
        <x:v>M03</x:v>
      </x:c>
      <x:c r="B30" s="10" t="n">
        <x:v>2</x:v>
      </x:c>
      <x:c r="C30" s="10" t="str">
        <x:v>applied</x:v>
      </x:c>
      <x:c r="D30" s="10" t="str">
        <x:v>applied</x:v>
      </x:c>
      <x:c r="E30" s="10" t="str">
        <x:v>Correct</x:v>
      </x:c>
      <x:c r="F30" s="10" t="str">
        <x:v>None</x:v>
      </x:c>
      <x:c r="G30" s="10" t="str"/>
      <x:c r="H30" s="10" t="n">
        <x:v>200</x:v>
      </x:c>
      <x:c r="I30" s="12" t="n">
        <x:v>9.34</x:v>
      </x:c>
      <x:c r="J30" s="14" t="n">
        <x:v>5</x:v>
      </x:c>
      <x:c r="K30" s="14" t="n">
        <x:v>5640</x:v>
      </x:c>
      <x:c r="L30" s="22" t="str">
        <x:v>Yes</x:v>
      </x:c>
      <x:c r="M30" s="10" t="str">
        <x:v>1 cup mango nectar, 1/2 cup cranberries replacing cherries, refrigerated marination at least 4 hours.</x:v>
      </x:c>
      <x:c r="N30" s="10" t="str"/>
    </x:row>
    <x:row r="31" ht="39" customHeight="1">
      <x:c r="A31" s="9" t="str">
        <x:v>M03</x:v>
      </x:c>
      <x:c r="B31" s="9" t="n">
        <x:v>3</x:v>
      </x:c>
      <x:c r="C31" s="9" t="str">
        <x:v>applied</x:v>
      </x:c>
      <x:c r="D31" s="9" t="str">
        <x:v>applied</x:v>
      </x:c>
      <x:c r="E31" s="9" t="str">
        <x:v>Correct</x:v>
      </x:c>
      <x:c r="F31" s="9" t="str">
        <x:v>None</x:v>
      </x:c>
      <x:c r="G31" s="9" t="str"/>
      <x:c r="H31" s="9" t="n">
        <x:v>200</x:v>
      </x:c>
      <x:c r="I31" s="11" t="n">
        <x:v>8.97</x:v>
      </x:c>
      <x:c r="J31" s="13" t="n">
        <x:v>5</x:v>
      </x:c>
      <x:c r="K31" s="13" t="n">
        <x:v>5646</x:v>
      </x:c>
      <x:c r="L31" s="21" t="str">
        <x:v>Yes</x:v>
      </x:c>
      <x:c r="M31" s="9" t="str">
        <x:v>1 cup mango nectar, 1/2 cup cranberries replacing cherries, refrigerated marination at least 4 hours.</x:v>
      </x:c>
      <x:c r="N31" s="9" t="str"/>
    </x:row>
    <x:row r="32" ht="39" customHeight="1">
      <x:c r="A32" s="10" t="str">
        <x:v>M03</x:v>
      </x:c>
      <x:c r="B32" s="10" t="n">
        <x:v>4</x:v>
      </x:c>
      <x:c r="C32" s="10" t="str">
        <x:v>applied</x:v>
      </x:c>
      <x:c r="D32" s="10" t="str">
        <x:v>needs_review</x:v>
      </x:c>
      <x:c r="E32" s="10" t="str">
        <x:v>False rejection</x:v>
      </x:c>
      <x:c r="F32" s="10" t="str">
        <x:v>High</x:v>
      </x:c>
      <x:c r="G32" s="10" t="str">
        <x:v>H05</x:v>
      </x:c>
      <x:c r="H32" s="10" t="n">
        <x:v>200</x:v>
      </x:c>
      <x:c r="I32" s="12" t="n">
        <x:v>8.17</x:v>
      </x:c>
      <x:c r="J32" s="14" t="n">
        <x:v>4</x:v>
      </x:c>
      <x:c r="K32" s="14" t="n">
        <x:v>4962</x:v>
      </x:c>
      <x:c r="L32" s="22" t="str">
        <x:v>Yes</x:v>
      </x:c>
      <x:c r="M32" s="10" t="str">
        <x:v>Valid request withheld after grammar-only change from '1 cups' to '1 cup' violates the exact calculated-text lock.</x:v>
      </x:c>
      <x:c r="N32" s="10" t="str">
        <x:v>Unsupported ingredient quantity edit; Python owns calculated quantities Calculated ingredient must remain exactly '1 cups mango nectar'</x:v>
      </x:c>
    </x:row>
    <x:row r="33" ht="39" customHeight="1">
      <x:c r="A33" s="9" t="str">
        <x:v>M03</x:v>
      </x:c>
      <x:c r="B33" s="9" t="n">
        <x:v>5</x:v>
      </x:c>
      <x:c r="C33" s="9" t="str">
        <x:v>applied</x:v>
      </x:c>
      <x:c r="D33" s="9" t="str">
        <x:v>HTTP 502</x:v>
      </x:c>
      <x:c r="E33" s="9" t="str">
        <x:v>Technical failure</x:v>
      </x:c>
      <x:c r="F33" s="9" t="str">
        <x:v>Medium</x:v>
      </x:c>
      <x:c r="G33" s="9" t="str">
        <x:v>O01</x:v>
      </x:c>
      <x:c r="H33" s="9" t="n">
        <x:v>502</x:v>
      </x:c>
      <x:c r="I33" s="11" t="n">
        <x:v>6.03</x:v>
      </x:c>
      <x:c r="J33" s="13"/>
      <x:c r="K33" s="13"/>
      <x:c r="L33" s="21" t="str">
        <x:v>Unknown</x:v>
      </x:c>
      <x:c r="M33" s="9" t="str">
        <x:v>No enhanced recipe returned. Planning could not complete (RateLimitError); no changes applied.</x:v>
      </x:c>
      <x:c r="N33" s="9" t="str">
        <x:v>Planning could not complete (RateLimitError); no changes applied.</x:v>
      </x:c>
    </x:row>
    <x:row r="34" ht="69" customHeight="1">
      <x:c r="A34" s="10" t="str">
        <x:v>M04</x:v>
      </x:c>
      <x:c r="B34" s="10" t="n">
        <x:v>1</x:v>
      </x:c>
      <x:c r="C34" s="10" t="str">
        <x:v>applied</x:v>
      </x:c>
      <x:c r="D34" s="10" t="str">
        <x:v>needs_review</x:v>
      </x:c>
      <x:c r="E34" s="10" t="str">
        <x:v>Incomplete plan</x:v>
      </x:c>
      <x:c r="F34" s="10" t="str">
        <x:v>High</x:v>
      </x:c>
      <x:c r="G34" s="10" t="str">
        <x:v>H02</x:v>
      </x:c>
      <x:c r="H34" s="10" t="n">
        <x:v>200</x:v>
      </x:c>
      <x:c r="I34" s="12" t="n">
        <x:v>9.56</x:v>
      </x:c>
      <x:c r="J34" s="14" t="n">
        <x:v>4</x:v>
      </x:c>
      <x:c r="K34" s="14" t="n">
        <x:v>6878</x:v>
      </x:c>
      <x:c r="L34" s="22" t="str">
        <x:v>Yes</x:v>
      </x:c>
      <x:c r="M34" s="10" t="str">
        <x:v>Valid request withheld because the description still mentions the removed peanut garnish.</x:v>
      </x:c>
      <x:c r="N34" s="10" t="str">
        <x:v>The description in the candidate recipe still mentions 'topped with honey-roasted peanuts', but the review specifies omitting the peanut garnish. This is an unsupported retention of the garnish in the description. All other changes (vegetable broth, reduced ginger, omitted garnish in ingredients and instructions) are correctly implemented.</x:v>
      </x:c>
    </x:row>
    <x:row r="35" ht="39" customHeight="1">
      <x:c r="A35" s="9" t="str">
        <x:v>M04</x:v>
      </x:c>
      <x:c r="B35" s="9" t="n">
        <x:v>2</x:v>
      </x:c>
      <x:c r="C35" s="9" t="str">
        <x:v>applied</x:v>
      </x:c>
      <x:c r="D35" s="9" t="str">
        <x:v>applied</x:v>
      </x:c>
      <x:c r="E35" s="9" t="str">
        <x:v>Incorrect publication</x:v>
      </x:c>
      <x:c r="F35" s="9" t="str">
        <x:v>High</x:v>
      </x:c>
      <x:c r="G35" s="9" t="str">
        <x:v>H02</x:v>
      </x:c>
      <x:c r="H35" s="9" t="n">
        <x:v>200</x:v>
      </x:c>
      <x:c r="I35" s="11" t="n">
        <x:v>11.41</x:v>
      </x:c>
      <x:c r="J35" s="13" t="n">
        <x:v>3</x:v>
      </x:c>
      <x:c r="K35" s="13" t="n">
        <x:v>4688</x:v>
      </x:c>
      <x:c r="L35" s="21" t="str">
        <x:v>No</x:v>
      </x:c>
      <x:c r="M35" s="9" t="str">
        <x:v>Ingredients and instructions omit peanuts, but the published description still claims the soup is topped with honey-roasted peanuts.</x:v>
      </x:c>
      <x:c r="N35" s="9" t="str"/>
    </x:row>
    <x:row r="36" ht="39" customHeight="1">
      <x:c r="A36" s="10" t="str">
        <x:v>M04</x:v>
      </x:c>
      <x:c r="B36" s="10" t="n">
        <x:v>3</x:v>
      </x:c>
      <x:c r="C36" s="10" t="str">
        <x:v>applied</x:v>
      </x:c>
      <x:c r="D36" s="10" t="str">
        <x:v>applied</x:v>
      </x:c>
      <x:c r="E36" s="10" t="str">
        <x:v>Incorrect publication</x:v>
      </x:c>
      <x:c r="F36" s="10" t="str">
        <x:v>High</x:v>
      </x:c>
      <x:c r="G36" s="10" t="str">
        <x:v>H02</x:v>
      </x:c>
      <x:c r="H36" s="10" t="n">
        <x:v>200</x:v>
      </x:c>
      <x:c r="I36" s="12" t="n">
        <x:v>7.83</x:v>
      </x:c>
      <x:c r="J36" s="14" t="n">
        <x:v>3</x:v>
      </x:c>
      <x:c r="K36" s="14" t="n">
        <x:v>4688</x:v>
      </x:c>
      <x:c r="L36" s="22" t="str">
        <x:v>No</x:v>
      </x:c>
      <x:c r="M36" s="10" t="str">
        <x:v>Ingredients and instructions omit peanuts, but the published description still claims the soup is topped with honey-roasted peanuts.</x:v>
      </x:c>
      <x:c r="N36" s="10" t="str"/>
    </x:row>
    <x:row r="37" ht="39" customHeight="1">
      <x:c r="A37" s="9" t="str">
        <x:v>M04</x:v>
      </x:c>
      <x:c r="B37" s="9" t="n">
        <x:v>4</x:v>
      </x:c>
      <x:c r="C37" s="9" t="str">
        <x:v>applied</x:v>
      </x:c>
      <x:c r="D37" s="9" t="str">
        <x:v>applied</x:v>
      </x:c>
      <x:c r="E37" s="9" t="str">
        <x:v>Incorrect publication</x:v>
      </x:c>
      <x:c r="F37" s="9" t="str">
        <x:v>High</x:v>
      </x:c>
      <x:c r="G37" s="9" t="str">
        <x:v>H02</x:v>
      </x:c>
      <x:c r="H37" s="9" t="n">
        <x:v>200</x:v>
      </x:c>
      <x:c r="I37" s="11" t="n">
        <x:v>7.94</x:v>
      </x:c>
      <x:c r="J37" s="13" t="n">
        <x:v>3</x:v>
      </x:c>
      <x:c r="K37" s="13" t="n">
        <x:v>4668</x:v>
      </x:c>
      <x:c r="L37" s="21" t="str">
        <x:v>No</x:v>
      </x:c>
      <x:c r="M37" s="9" t="str">
        <x:v>Ingredients and instructions omit peanuts, but the published description still claims the soup is topped with honey-roasted peanuts.</x:v>
      </x:c>
      <x:c r="N37" s="9" t="str"/>
    </x:row>
    <x:row r="38" ht="39" customHeight="1">
      <x:c r="A38" s="10" t="str">
        <x:v>M04</x:v>
      </x:c>
      <x:c r="B38" s="10" t="n">
        <x:v>5</x:v>
      </x:c>
      <x:c r="C38" s="10" t="str">
        <x:v>applied</x:v>
      </x:c>
      <x:c r="D38" s="10" t="str">
        <x:v>HTTP 502</x:v>
      </x:c>
      <x:c r="E38" s="10" t="str">
        <x:v>Technical failure</x:v>
      </x:c>
      <x:c r="F38" s="10" t="str">
        <x:v>Medium</x:v>
      </x:c>
      <x:c r="G38" s="10" t="str">
        <x:v>O01</x:v>
      </x:c>
      <x:c r="H38" s="10" t="n">
        <x:v>502</x:v>
      </x:c>
      <x:c r="I38" s="12" t="n">
        <x:v>8.6</x:v>
      </x:c>
      <x:c r="J38" s="14"/>
      <x:c r="K38" s="14"/>
      <x:c r="L38" s="22" t="str">
        <x:v>Unknown</x:v>
      </x:c>
      <x:c r="M38" s="10" t="str">
        <x:v>No enhanced recipe returned. Planning could not complete (RateLimitError); no changes applied.</x:v>
      </x:c>
      <x:c r="N38" s="10" t="str">
        <x:v>Planning could not complete (RateLimitError); no changes applied.</x:v>
      </x:c>
    </x:row>
    <x:row r="39" ht="39" customHeight="1">
      <x:c r="A39" s="9" t="str">
        <x:v>T01</x:v>
      </x:c>
      <x:c r="B39" s="9" t="n">
        <x:v>1</x:v>
      </x:c>
      <x:c r="C39" s="9" t="str">
        <x:v>applied</x:v>
      </x:c>
      <x:c r="D39" s="9" t="str">
        <x:v>needs_review</x:v>
      </x:c>
      <x:c r="E39" s="9" t="str">
        <x:v>False rejection</x:v>
      </x:c>
      <x:c r="F39" s="9" t="str">
        <x:v>High</x:v>
      </x:c>
      <x:c r="G39" s="9" t="str">
        <x:v>H03</x:v>
      </x:c>
      <x:c r="H39" s="9" t="n">
        <x:v>200</x:v>
      </x:c>
      <x:c r="I39" s="11" t="n">
        <x:v>1.61</x:v>
      </x:c>
      <x:c r="J39" s="13" t="n">
        <x:v>1</x:v>
      </x:c>
      <x:c r="K39" s="13" t="n">
        <x:v>1117</x:v>
      </x:c>
      <x:c r="L39" s="21" t="str">
        <x:v>No</x:v>
      </x:c>
      <x:c r="M39" s="9" t="str">
        <x:v>Baking time classified as an ingredient quantity; no ingredient named baking time.</x:v>
      </x:c>
      <x:c r="N39" s="9" t="str">
        <x:v>Ambiguous or missing ingredient: baking time</x:v>
      </x:c>
    </x:row>
    <x:row r="40" ht="39" customHeight="1">
      <x:c r="A40" s="10" t="str">
        <x:v>T02</x:v>
      </x:c>
      <x:c r="B40" s="10" t="n">
        <x:v>1</x:v>
      </x:c>
      <x:c r="C40" s="10" t="str">
        <x:v>applied</x:v>
      </x:c>
      <x:c r="D40" s="10" t="str">
        <x:v>needs_review</x:v>
      </x:c>
      <x:c r="E40" s="10" t="str">
        <x:v>False rejection</x:v>
      </x:c>
      <x:c r="F40" s="10" t="str">
        <x:v>High</x:v>
      </x:c>
      <x:c r="G40" s="10" t="str">
        <x:v>H03</x:v>
      </x:c>
      <x:c r="H40" s="10" t="n">
        <x:v>200</x:v>
      </x:c>
      <x:c r="I40" s="12" t="n">
        <x:v>2.02</x:v>
      </x:c>
      <x:c r="J40" s="14" t="n">
        <x:v>1</x:v>
      </x:c>
      <x:c r="K40" s="14" t="n">
        <x:v>958</x:v>
      </x:c>
      <x:c r="L40" s="22" t="str">
        <x:v>No</x:v>
      </x:c>
      <x:c r="M40" s="10" t="str">
        <x:v>Marination time classified as an ingredient quantity; no ingredient named marinate time.</x:v>
      </x:c>
      <x:c r="N40" s="10" t="str">
        <x:v>Ambiguous or missing ingredient: marinate time</x:v>
      </x:c>
    </x:row>
    <x:row r="41" ht="39" customHeight="1">
      <x:c r="A41" s="9" t="str">
        <x:v>T03</x:v>
      </x:c>
      <x:c r="B41" s="9" t="n">
        <x:v>1</x:v>
      </x:c>
      <x:c r="C41" s="9" t="str">
        <x:v>applied</x:v>
      </x:c>
      <x:c r="D41" s="9" t="str">
        <x:v>applied</x:v>
      </x:c>
      <x:c r="E41" s="9" t="str">
        <x:v>Correct</x:v>
      </x:c>
      <x:c r="F41" s="9" t="str">
        <x:v>None</x:v>
      </x:c>
      <x:c r="G41" s="9" t="str"/>
      <x:c r="H41" s="9" t="n">
        <x:v>200</x:v>
      </x:c>
      <x:c r="I41" s="11" t="n">
        <x:v>6.75</x:v>
      </x:c>
      <x:c r="J41" s="13" t="n">
        <x:v>5</x:v>
      </x:c>
      <x:c r="K41" s="13" t="n">
        <x:v>5886</x:v>
      </x:c>
      <x:c r="L41" s="21" t="str">
        <x:v>Yes</x:v>
      </x:c>
      <x:c r="M41" s="9" t="str">
        <x:v>Finished dough chilled 20 minutes before spooning; baking preserved.</x:v>
      </x:c>
      <x:c r="N41" s="9" t="str"/>
    </x:row>
    <x:row r="42" ht="39" customHeight="1">
      <x:c r="A42" s="10" t="str">
        <x:v>T03</x:v>
      </x:c>
      <x:c r="B42" s="10" t="n">
        <x:v>2</x:v>
      </x:c>
      <x:c r="C42" s="10" t="str">
        <x:v>applied</x:v>
      </x:c>
      <x:c r="D42" s="10" t="str">
        <x:v>applied</x:v>
      </x:c>
      <x:c r="E42" s="10" t="str">
        <x:v>Correct</x:v>
      </x:c>
      <x:c r="F42" s="10" t="str">
        <x:v>None</x:v>
      </x:c>
      <x:c r="G42" s="10" t="str"/>
      <x:c r="H42" s="10" t="n">
        <x:v>200</x:v>
      </x:c>
      <x:c r="I42" s="12" t="n">
        <x:v>7.66</x:v>
      </x:c>
      <x:c r="J42" s="14" t="n">
        <x:v>5</x:v>
      </x:c>
      <x:c r="K42" s="14" t="n">
        <x:v>5890</x:v>
      </x:c>
      <x:c r="L42" s="22" t="str">
        <x:v>Yes</x:v>
      </x:c>
      <x:c r="M42" s="10" t="str">
        <x:v>Finished dough chilled 20 minutes before spooning; baking preserved.</x:v>
      </x:c>
      <x:c r="N42" s="10" t="str"/>
    </x:row>
    <x:row r="43" ht="39" customHeight="1">
      <x:c r="A43" s="9" t="str">
        <x:v>T03</x:v>
      </x:c>
      <x:c r="B43" s="9" t="n">
        <x:v>3</x:v>
      </x:c>
      <x:c r="C43" s="9" t="str">
        <x:v>applied</x:v>
      </x:c>
      <x:c r="D43" s="9" t="str">
        <x:v>applied</x:v>
      </x:c>
      <x:c r="E43" s="9" t="str">
        <x:v>Correct</x:v>
      </x:c>
      <x:c r="F43" s="9" t="str">
        <x:v>None</x:v>
      </x:c>
      <x:c r="G43" s="9" t="str"/>
      <x:c r="H43" s="9" t="n">
        <x:v>200</x:v>
      </x:c>
      <x:c r="I43" s="11" t="n">
        <x:v>6.48</x:v>
      </x:c>
      <x:c r="J43" s="13" t="n">
        <x:v>5</x:v>
      </x:c>
      <x:c r="K43" s="13" t="n">
        <x:v>5890</x:v>
      </x:c>
      <x:c r="L43" s="21" t="str">
        <x:v>Yes</x:v>
      </x:c>
      <x:c r="M43" s="9" t="str">
        <x:v>Finished dough chilled 20 minutes before spooning; baking preserved.</x:v>
      </x:c>
      <x:c r="N43" s="9" t="str"/>
    </x:row>
    <x:row r="44" ht="39" customHeight="1">
      <x:c r="A44" s="10" t="str">
        <x:v>T03</x:v>
      </x:c>
      <x:c r="B44" s="10" t="n">
        <x:v>4</x:v>
      </x:c>
      <x:c r="C44" s="10" t="str">
        <x:v>applied</x:v>
      </x:c>
      <x:c r="D44" s="10" t="str">
        <x:v>HTTP 502</x:v>
      </x:c>
      <x:c r="E44" s="10" t="str">
        <x:v>Technical failure</x:v>
      </x:c>
      <x:c r="F44" s="10" t="str">
        <x:v>Medium</x:v>
      </x:c>
      <x:c r="G44" s="10" t="str">
        <x:v>O01</x:v>
      </x:c>
      <x:c r="H44" s="10" t="n">
        <x:v>502</x:v>
      </x:c>
      <x:c r="I44" s="12" t="n">
        <x:v>5.16</x:v>
      </x:c>
      <x:c r="J44" s="14"/>
      <x:c r="K44" s="14"/>
      <x:c r="L44" s="22" t="str">
        <x:v>Unknown</x:v>
      </x:c>
      <x:c r="M44" s="10" t="str">
        <x:v>No enhanced recipe returned. Planning could not complete (RateLimitError); no changes applied.</x:v>
      </x:c>
      <x:c r="N44" s="10" t="str">
        <x:v>Planning could not complete (RateLimitError); no changes applied.</x:v>
      </x:c>
    </x:row>
    <x:row r="45" ht="39" customHeight="1">
      <x:c r="A45" s="9" t="str">
        <x:v>T03</x:v>
      </x:c>
      <x:c r="B45" s="9" t="n">
        <x:v>5</x:v>
      </x:c>
      <x:c r="C45" s="9" t="str">
        <x:v>applied</x:v>
      </x:c>
      <x:c r="D45" s="9" t="str">
        <x:v>failed</x:v>
      </x:c>
      <x:c r="E45" s="9" t="str">
        <x:v>Technical failure</x:v>
      </x:c>
      <x:c r="F45" s="9" t="str">
        <x:v>Medium</x:v>
      </x:c>
      <x:c r="G45" s="9" t="str">
        <x:v>O01</x:v>
      </x:c>
      <x:c r="H45" s="9" t="n">
        <x:v>200</x:v>
      </x:c>
      <x:c r="I45" s="11" t="n">
        <x:v>7.94</x:v>
      </x:c>
      <x:c r="J45" s="13" t="n">
        <x:v>5</x:v>
      </x:c>
      <x:c r="K45" s="13" t="n">
        <x:v>5906</x:v>
      </x:c>
      <x:c r="L45" s="21" t="str">
        <x:v>Yes</x:v>
      </x:c>
      <x:c r="M45" s="9" t="str">
        <x:v>No enhanced recipe returned. Consistency validation could not complete; no enhancement was published.</x:v>
      </x:c>
      <x:c r="N45" s="9" t="str">
        <x:v>Consistency validation could not complete; no enhancement was published.</x:v>
      </x:c>
    </x:row>
    <x:row r="46" ht="39" customHeight="1">
      <x:c r="A46" s="10" t="str">
        <x:v>A01</x:v>
      </x:c>
      <x:c r="B46" s="10" t="n">
        <x:v>1</x:v>
      </x:c>
      <x:c r="C46" s="10" t="str">
        <x:v>applied</x:v>
      </x:c>
      <x:c r="D46" s="10" t="str">
        <x:v>needs_review</x:v>
      </x:c>
      <x:c r="E46" s="10" t="str">
        <x:v>False rejection</x:v>
      </x:c>
      <x:c r="F46" s="10" t="str">
        <x:v>High</x:v>
      </x:c>
      <x:c r="G46" s="10" t="str">
        <x:v>H06</x:v>
      </x:c>
      <x:c r="H46" s="10" t="n">
        <x:v>200</x:v>
      </x:c>
      <x:c r="I46" s="12" t="n">
        <x:v>5.09</x:v>
      </x:c>
      <x:c r="J46" s="14" t="n">
        <x:v>3</x:v>
      </x:c>
      <x:c r="K46" s="14" t="n">
        <x:v>3756</x:v>
      </x:c>
      <x:c r="L46" s="22" t="str">
        <x:v>Yes</x:v>
      </x:c>
      <x:c r="M46" s="10" t="str">
        <x:v>Valid orange-zest use rejected because the short ingredient name omits finely grated.</x:v>
      </x:c>
      <x:c r="N46" s="10" t="str">
        <x:v>Added ingredient 'finely grated orange zest' has no explicit use in the final instructions.</x:v>
      </x:c>
    </x:row>
    <x:row r="47" ht="39" customHeight="1">
      <x:c r="A47" s="9" t="str">
        <x:v>A02</x:v>
      </x:c>
      <x:c r="B47" s="9" t="n">
        <x:v>1</x:v>
      </x:c>
      <x:c r="C47" s="9" t="str">
        <x:v>applied</x:v>
      </x:c>
      <x:c r="D47" s="9" t="str">
        <x:v>applied</x:v>
      </x:c>
      <x:c r="E47" s="9" t="str">
        <x:v>Incorrect publication</x:v>
      </x:c>
      <x:c r="F47" s="9" t="str">
        <x:v>High</x:v>
      </x:c>
      <x:c r="G47" s="9" t="str">
        <x:v>H01</x:v>
      </x:c>
      <x:c r="H47" s="9" t="n">
        <x:v>200</x:v>
      </x:c>
      <x:c r="I47" s="11" t="n">
        <x:v>5.57</x:v>
      </x:c>
      <x:c r="J47" s="13" t="n">
        <x:v>3</x:v>
      </x:c>
      <x:c r="K47" s="13" t="n">
        <x:v>4163</x:v>
      </x:c>
      <x:c r="L47" s="21" t="str">
        <x:v>No</x:v>
      </x:c>
      <x:c r="M47" s="9" t="str">
        <x:v>Parsley is added as a garnish, although the source review explicitly says it was stirred into the soup.</x:v>
      </x:c>
      <x:c r="N47" s="9" t="str"/>
    </x:row>
    <x:row r="48" ht="32" customHeight="1">
      <x:c r="A48" s="10" t="str">
        <x:v>R01</x:v>
      </x:c>
      <x:c r="B48" s="10" t="n">
        <x:v>1</x:v>
      </x:c>
      <x:c r="C48" s="10" t="str">
        <x:v>applied</x:v>
      </x:c>
      <x:c r="D48" s="10" t="str">
        <x:v>applied</x:v>
      </x:c>
      <x:c r="E48" s="10" t="str">
        <x:v>Correct</x:v>
      </x:c>
      <x:c r="F48" s="10" t="str">
        <x:v>None</x:v>
      </x:c>
      <x:c r="G48" s="10" t="str"/>
      <x:c r="H48" s="10" t="n">
        <x:v>200</x:v>
      </x:c>
      <x:c r="I48" s="12" t="n">
        <x:v>4.89</x:v>
      </x:c>
      <x:c r="J48" s="14" t="n">
        <x:v>3</x:v>
      </x:c>
      <x:c r="K48" s="14" t="n">
        <x:v>2711</x:v>
      </x:c>
      <x:c r="L48" s="22" t="str">
        <x:v>No</x:v>
      </x:c>
      <x:c r="M48" s="10" t="str">
        <x:v>Garlic removed from ingredient and blender instruction.</x:v>
      </x:c>
      <x:c r="N48" s="10" t="str"/>
    </x:row>
    <x:row r="49" ht="32" customHeight="1">
      <x:c r="A49" s="9" t="str">
        <x:v>N01</x:v>
      </x:c>
      <x:c r="B49" s="9" t="n">
        <x:v>1</x:v>
      </x:c>
      <x:c r="C49" s="9" t="str">
        <x:v>skipped</x:v>
      </x:c>
      <x:c r="D49" s="9" t="str">
        <x:v>skipped</x:v>
      </x:c>
      <x:c r="E49" s="9" t="str">
        <x:v>Correct</x:v>
      </x:c>
      <x:c r="F49" s="9" t="str">
        <x:v>None</x:v>
      </x:c>
      <x:c r="G49" s="9" t="str"/>
      <x:c r="H49" s="9" t="n">
        <x:v>200</x:v>
      </x:c>
      <x:c r="I49" s="11" t="n">
        <x:v>1.78</x:v>
      </x:c>
      <x:c r="J49" s="13" t="n">
        <x:v>2</x:v>
      </x:c>
      <x:c r="K49" s="13" t="n">
        <x:v>2075</x:v>
      </x:c>
      <x:c r="L49" s="21" t="str">
        <x:v>No</x:v>
      </x:c>
      <x:c r="M49" s="9" t="str">
        <x:v>Original preserved; requested abstention was correct.</x:v>
      </x:c>
      <x:c r="N49" s="9" t="str"/>
    </x:row>
    <x:row r="50" ht="32" customHeight="1">
      <x:c r="A50" s="10" t="str">
        <x:v>N02</x:v>
      </x:c>
      <x:c r="B50" s="10" t="n">
        <x:v>1</x:v>
      </x:c>
      <x:c r="C50" s="10" t="str">
        <x:v>skipped</x:v>
      </x:c>
      <x:c r="D50" s="10" t="str">
        <x:v>skipped</x:v>
      </x:c>
      <x:c r="E50" s="10" t="str">
        <x:v>Correct</x:v>
      </x:c>
      <x:c r="F50" s="10" t="str">
        <x:v>None</x:v>
      </x:c>
      <x:c r="G50" s="10" t="str"/>
      <x:c r="H50" s="10" t="n">
        <x:v>200</x:v>
      </x:c>
      <x:c r="I50" s="12" t="n">
        <x:v>2.01</x:v>
      </x:c>
      <x:c r="J50" s="14" t="n">
        <x:v>2</x:v>
      </x:c>
      <x:c r="K50" s="14" t="n">
        <x:v>1653</x:v>
      </x:c>
      <x:c r="L50" s="22" t="str">
        <x:v>No</x:v>
      </x:c>
      <x:c r="M50" s="10" t="str">
        <x:v>Original preserved; requested abstention was correct.</x:v>
      </x:c>
      <x:c r="N50" s="10" t="str"/>
    </x:row>
    <x:row r="51" ht="32" customHeight="1">
      <x:c r="A51" s="9" t="str">
        <x:v>N03</x:v>
      </x:c>
      <x:c r="B51" s="9" t="n">
        <x:v>1</x:v>
      </x:c>
      <x:c r="C51" s="9" t="str">
        <x:v>skipped</x:v>
      </x:c>
      <x:c r="D51" s="9" t="str">
        <x:v>skipped</x:v>
      </x:c>
      <x:c r="E51" s="9" t="str">
        <x:v>Correct</x:v>
      </x:c>
      <x:c r="F51" s="9" t="str">
        <x:v>None</x:v>
      </x:c>
      <x:c r="G51" s="9" t="str"/>
      <x:c r="H51" s="9" t="n">
        <x:v>200</x:v>
      </x:c>
      <x:c r="I51" s="11" t="n">
        <x:v>1.43</x:v>
      </x:c>
      <x:c r="J51" s="13" t="n">
        <x:v>2</x:v>
      </x:c>
      <x:c r="K51" s="13" t="n">
        <x:v>2091</x:v>
      </x:c>
      <x:c r="L51" s="21" t="str">
        <x:v>No</x:v>
      </x:c>
      <x:c r="M51" s="9" t="str">
        <x:v>Original preserved; requested abstention was correct.</x:v>
      </x:c>
      <x:c r="N51" s="9" t="str"/>
    </x:row>
    <x:row r="52" ht="32" customHeight="1">
      <x:c r="A52" s="10" t="str">
        <x:v>N04</x:v>
      </x:c>
      <x:c r="B52" s="10" t="n">
        <x:v>1</x:v>
      </x:c>
      <x:c r="C52" s="10" t="str">
        <x:v>skipped</x:v>
      </x:c>
      <x:c r="D52" s="10" t="str">
        <x:v>skipped</x:v>
      </x:c>
      <x:c r="E52" s="10" t="str">
        <x:v>Correct</x:v>
      </x:c>
      <x:c r="F52" s="10" t="str">
        <x:v>None</x:v>
      </x:c>
      <x:c r="G52" s="10" t="str"/>
      <x:c r="H52" s="10" t="n">
        <x:v>200</x:v>
      </x:c>
      <x:c r="I52" s="12" t="n">
        <x:v>1.59</x:v>
      </x:c>
      <x:c r="J52" s="14" t="n">
        <x:v>2</x:v>
      </x:c>
      <x:c r="K52" s="14" t="n">
        <x:v>2083</x:v>
      </x:c>
      <x:c r="L52" s="22" t="str">
        <x:v>No</x:v>
      </x:c>
      <x:c r="M52" s="10" t="str">
        <x:v>Original preserved; requested abstention was correct.</x:v>
      </x:c>
      <x:c r="N52" s="10" t="str"/>
    </x:row>
    <x:row r="53" ht="32" customHeight="1">
      <x:c r="A53" s="9" t="str">
        <x:v>N05</x:v>
      </x:c>
      <x:c r="B53" s="9" t="n">
        <x:v>1</x:v>
      </x:c>
      <x:c r="C53" s="9" t="str">
        <x:v>needs_review</x:v>
      </x:c>
      <x:c r="D53" s="9" t="str">
        <x:v>needs_review</x:v>
      </x:c>
      <x:c r="E53" s="9" t="str">
        <x:v>Correct</x:v>
      </x:c>
      <x:c r="F53" s="9" t="str">
        <x:v>None</x:v>
      </x:c>
      <x:c r="G53" s="9" t="str"/>
      <x:c r="H53" s="9" t="n">
        <x:v>200</x:v>
      </x:c>
      <x:c r="I53" s="11" t="n">
        <x:v>2.46</x:v>
      </x:c>
      <x:c r="J53" s="13" t="n">
        <x:v>1</x:v>
      </x:c>
      <x:c r="K53" s="13" t="n">
        <x:v>1183</x:v>
      </x:c>
      <x:c r="L53" s="21" t="str">
        <x:v>No</x:v>
      </x:c>
      <x:c r="M53" s="9" t="str">
        <x:v>Original preserved; requested abstention was correct.</x:v>
      </x:c>
      <x:c r="N53" s="9" t="str">
        <x:v>Review does not disambiguate which sugar to change Review does not disambiguate which sugar to change</x:v>
      </x:c>
    </x:row>
    <x:row r="54" ht="32" customHeight="1">
      <x:c r="A54" s="10" t="str">
        <x:v>N06</x:v>
      </x:c>
      <x:c r="B54" s="10" t="n">
        <x:v>1</x:v>
      </x:c>
      <x:c r="C54" s="10" t="str">
        <x:v>needs_review</x:v>
      </x:c>
      <x:c r="D54" s="10" t="str">
        <x:v>needs_review</x:v>
      </x:c>
      <x:c r="E54" s="10" t="str">
        <x:v>Correct</x:v>
      </x:c>
      <x:c r="F54" s="10" t="str">
        <x:v>None</x:v>
      </x:c>
      <x:c r="G54" s="10" t="str"/>
      <x:c r="H54" s="10" t="n">
        <x:v>200</x:v>
      </x:c>
      <x:c r="I54" s="12" t="n">
        <x:v>1.63</x:v>
      </x:c>
      <x:c r="J54" s="14" t="n">
        <x:v>1</x:v>
      </x:c>
      <x:c r="K54" s="14" t="n">
        <x:v>1210</x:v>
      </x:c>
      <x:c r="L54" s="22" t="str">
        <x:v>No</x:v>
      </x:c>
      <x:c r="M54" s="10" t="str">
        <x:v>Original preserved; requested abstention was correct.</x:v>
      </x:c>
      <x:c r="N54" s="10" t="str">
        <x:v>Review does not disambiguate which shortening to change Ambiguous or missing ingredient: shortening</x:v>
      </x:c>
    </x:row>
    <x:row r="55" ht="32" customHeight="1">
      <x:c r="A55" s="9" t="str">
        <x:v>N07</x:v>
      </x:c>
      <x:c r="B55" s="9" t="n">
        <x:v>1</x:v>
      </x:c>
      <x:c r="C55" s="9" t="str">
        <x:v>needs_review</x:v>
      </x:c>
      <x:c r="D55" s="9" t="str">
        <x:v>needs_review</x:v>
      </x:c>
      <x:c r="E55" s="9" t="str">
        <x:v>Correct</x:v>
      </x:c>
      <x:c r="F55" s="9" t="str">
        <x:v>None</x:v>
      </x:c>
      <x:c r="G55" s="9" t="str"/>
      <x:c r="H55" s="9" t="n">
        <x:v>200</x:v>
      </x:c>
      <x:c r="I55" s="11" t="n">
        <x:v>1.86</x:v>
      </x:c>
      <x:c r="J55" s="13" t="n">
        <x:v>1</x:v>
      </x:c>
      <x:c r="K55" s="13" t="n">
        <x:v>1120</x:v>
      </x:c>
      <x:c r="L55" s="21" t="str">
        <x:v>No</x:v>
      </x:c>
      <x:c r="M55" s="9" t="str">
        <x:v>Original preserved; requested abstention was correct.</x:v>
      </x:c>
      <x:c r="N55" s="9" t="str">
        <x:v>Unclear timing: 1</x:v>
      </x:c>
    </x:row>
    <x:row r="56" ht="32" customHeight="1">
      <x:c r="A56" s="10" t="str">
        <x:v>N08</x:v>
      </x:c>
      <x:c r="B56" s="10" t="n">
        <x:v>1</x:v>
      </x:c>
      <x:c r="C56" s="10" t="str">
        <x:v>needs_review</x:v>
      </x:c>
      <x:c r="D56" s="10" t="str">
        <x:v>needs_review</x:v>
      </x:c>
      <x:c r="E56" s="10" t="str">
        <x:v>Correct</x:v>
      </x:c>
      <x:c r="F56" s="10" t="str">
        <x:v>None</x:v>
      </x:c>
      <x:c r="G56" s="10" t="str"/>
      <x:c r="H56" s="10" t="n">
        <x:v>200</x:v>
      </x:c>
      <x:c r="I56" s="12" t="n">
        <x:v>1.42</x:v>
      </x:c>
      <x:c r="J56" s="14" t="n">
        <x:v>1</x:v>
      </x:c>
      <x:c r="K56" s="14" t="n">
        <x:v>1104</x:v>
      </x:c>
      <x:c r="L56" s="22" t="str">
        <x:v>No</x:v>
      </x:c>
      <x:c r="M56" s="10" t="str">
        <x:v>Original preserved; requested abstention was correct.</x:v>
      </x:c>
      <x:c r="N56" s="10" t="str">
        <x:v>I did not measure the oil and cannot say how much I used</x:v>
      </x:c>
    </x:row>
    <x:row r="57" ht="32" customHeight="1">
      <x:c r="A57" s="9" t="str">
        <x:v>U01</x:v>
      </x:c>
      <x:c r="B57" s="9" t="n">
        <x:v>1</x:v>
      </x:c>
      <x:c r="C57" s="9" t="str">
        <x:v>needs_review</x:v>
      </x:c>
      <x:c r="D57" s="9" t="str">
        <x:v>needs_review</x:v>
      </x:c>
      <x:c r="E57" s="9" t="str">
        <x:v>Correct</x:v>
      </x:c>
      <x:c r="F57" s="9" t="str">
        <x:v>None</x:v>
      </x:c>
      <x:c r="G57" s="9" t="str"/>
      <x:c r="H57" s="9" t="n">
        <x:v>200</x:v>
      </x:c>
      <x:c r="I57" s="11" t="n">
        <x:v>1.73</x:v>
      </x:c>
      <x:c r="J57" s="13" t="n">
        <x:v>1</x:v>
      </x:c>
      <x:c r="K57" s="13" t="n">
        <x:v>1124</x:v>
      </x:c>
      <x:c r="L57" s="21" t="str">
        <x:v>No</x:v>
      </x:c>
      <x:c r="M57" s="9" t="str">
        <x:v>Original preserved; requested abstention was correct.</x:v>
      </x:c>
      <x:c r="N57" s="9" t="str">
        <x:v>I do not know the flour's weight per cup. Unit conversion or unspecified unit needs review</x:v>
      </x:c>
    </x:row>
    <x:row r="58" ht="32" customHeight="1">
      <x:c r="A58" s="10" t="str">
        <x:v>U02</x:v>
      </x:c>
      <x:c r="B58" s="10" t="n">
        <x:v>1</x:v>
      </x:c>
      <x:c r="C58" s="10" t="str">
        <x:v>needs_review</x:v>
      </x:c>
      <x:c r="D58" s="10" t="str">
        <x:v>needs_review</x:v>
      </x:c>
      <x:c r="E58" s="10" t="str">
        <x:v>Correct</x:v>
      </x:c>
      <x:c r="F58" s="10" t="str">
        <x:v>None</x:v>
      </x:c>
      <x:c r="G58" s="10" t="str"/>
      <x:c r="H58" s="10" t="n">
        <x:v>200</x:v>
      </x:c>
      <x:c r="I58" s="12" t="n">
        <x:v>1.38</x:v>
      </x:c>
      <x:c r="J58" s="14" t="n">
        <x:v>1</x:v>
      </x:c>
      <x:c r="K58" s="14" t="n">
        <x:v>1076</x:v>
      </x:c>
      <x:c r="L58" s="22" t="str">
        <x:v>No</x:v>
      </x:c>
      <x:c r="M58" s="10" t="str">
        <x:v>Original preserved; requested abstention was correct.</x:v>
      </x:c>
      <x:c r="N58" s="10" t="str">
        <x:v>Unsupported quantity unit: potatoes,</x:v>
      </x:c>
    </x:row>
    <x:row r="59" ht="32" customHeight="1">
      <x:c r="A59" s="9" t="str">
        <x:v>U03</x:v>
      </x:c>
      <x:c r="B59" s="9" t="n">
        <x:v>1</x:v>
      </x:c>
      <x:c r="C59" s="9" t="str">
        <x:v>needs_review</x:v>
      </x:c>
      <x:c r="D59" s="9" t="str">
        <x:v>needs_review</x:v>
      </x:c>
      <x:c r="E59" s="9" t="str">
        <x:v>Correct</x:v>
      </x:c>
      <x:c r="F59" s="9" t="str">
        <x:v>None</x:v>
      </x:c>
      <x:c r="G59" s="9" t="str"/>
      <x:c r="H59" s="9" t="n">
        <x:v>200</x:v>
      </x:c>
      <x:c r="I59" s="11" t="n">
        <x:v>1.24</x:v>
      </x:c>
      <x:c r="J59" s="13" t="n">
        <x:v>1</x:v>
      </x:c>
      <x:c r="K59" s="13" t="n">
        <x:v>1096</x:v>
      </x:c>
      <x:c r="L59" s="21" t="str">
        <x:v>No</x:v>
      </x:c>
      <x:c r="M59" s="9" t="str">
        <x:v>Original preserved; requested abstention was correct.</x:v>
      </x:c>
      <x:c r="N59" s="9" t="str">
        <x:v>Quantity operand must be positive</x:v>
      </x:c>
    </x:row>
    <x:row r="60" ht="32" customHeight="1">
      <x:c r="A60" s="10" t="str">
        <x:v>U04</x:v>
      </x:c>
      <x:c r="B60" s="10" t="n">
        <x:v>1</x:v>
      </x:c>
      <x:c r="C60" s="10" t="str">
        <x:v>needs_review</x:v>
      </x:c>
      <x:c r="D60" s="10" t="str">
        <x:v>needs_review</x:v>
      </x:c>
      <x:c r="E60" s="10" t="str">
        <x:v>Correct</x:v>
      </x:c>
      <x:c r="F60" s="10" t="str">
        <x:v>None</x:v>
      </x:c>
      <x:c r="G60" s="10" t="str"/>
      <x:c r="H60" s="10" t="n">
        <x:v>200</x:v>
      </x:c>
      <x:c r="I60" s="12" t="n">
        <x:v>1.26</x:v>
      </x:c>
      <x:c r="J60" s="14" t="n">
        <x:v>1</x:v>
      </x:c>
      <x:c r="K60" s="14" t="n">
        <x:v>1096</x:v>
      </x:c>
      <x:c r="L60" s="22" t="str">
        <x:v>No</x:v>
      </x:c>
      <x:c r="M60" s="10" t="str">
        <x:v>Original preserved; requested abstention was correct.</x:v>
      </x:c>
      <x:c r="N60" s="10" t="str">
        <x:v>Resulting quantity must be positive; use an explicit removal instead</x:v>
      </x:c>
    </x:row>
  </x:sheetData>
  <x:conditionalFormatting sqref="E5:E60">
    <x:cfRule type="containsText" dxfId="2" priority="1" operator="containsText" text="Incorrect publication"/>
    <x:cfRule type="containsText" dxfId="3" priority="2" operator="containsText" text="False rejection"/>
  </x:conditionalFormatting>
  <x:pageMargins left="0.7" right="0.7" top="0.75" bottom="0.75" header="0.3" footer="0.3"/>
  <x:tableParts count="1">
    <x:tablePart xmlns:r="http://schemas.openxmlformats.org/officeDocument/2006/relationships" r:id="R9096b815da354e57"/>
  </x:tableParts>
</x:worksheet>
</file>

<file path=xl/worksheets/sheet4.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1" hidden="0" customWidth="1"/>
    <x:col min="2" max="2" width="10" hidden="0" customWidth="1"/>
    <x:col min="3" max="3" width="13" hidden="0" customWidth="1"/>
    <x:col min="4" max="4" width="45" hidden="0" customWidth="1"/>
    <x:col min="5" max="5" width="31" hidden="0" customWidth="1"/>
    <x:col min="6" max="6" width="73" hidden="0" customWidth="1"/>
    <x:col min="7" max="7" width="73" hidden="0" customWidth="1"/>
    <x:col min="8" max="8" width="69" hidden="0" customWidth="1"/>
  </x:cols>
  <x:sheetData>
    <x:row r="1" ht="28" customHeight="1">
      <x:c r="A1" s="2" t="str">
        <x:v>Prioritized findings</x:v>
      </x:c>
      <x:c r="B1" s="1"/>
      <x:c r="C1" s="1"/>
      <x:c r="D1" s="1"/>
      <x:c r="E1" s="1"/>
      <x:c r="F1" s="1"/>
      <x:c r="G1" s="1"/>
      <x:c r="H1" s="1"/>
    </x:row>
    <x:row r="2">
      <x:c r="A2" s="3" t="str">
        <x:v>Two publication defects take precedence over rejected requests and provider availability.</x:v>
      </x:c>
      <x:c r="B2" s="1"/>
      <x:c r="C2" s="1"/>
      <x:c r="D2" s="1"/>
      <x:c r="E2" s="1"/>
      <x:c r="F2" s="1"/>
      <x:c r="G2" s="1"/>
      <x:c r="H2" s="1"/>
    </x:row>
    <x:row r="3">
      <x:c r="A3" s="4"/>
      <x:c r="B3" s="4"/>
      <x:c r="C3" s="4"/>
      <x:c r="D3" s="4"/>
      <x:c r="E3" s="4"/>
      <x:c r="F3" s="4"/>
      <x:c r="G3" s="4"/>
      <x:c r="H3" s="4"/>
    </x:row>
    <x:row r="4" ht="34" customHeight="1">
      <x:c r="A4" s="7" t="str">
        <x:v>Priority</x:v>
      </x:c>
      <x:c r="B4" s="7" t="str">
        <x:v>Issue</x:v>
      </x:c>
      <x:c r="C4" s="7" t="str">
        <x:v>Severity</x:v>
      </x:c>
      <x:c r="D4" s="7" t="str">
        <x:v>Problem</x:v>
      </x:c>
      <x:c r="E4" s="7" t="str">
        <x:v>Evidence cases</x:v>
      </x:c>
      <x:c r="F4" s="7" t="str">
        <x:v>Finding</x:v>
      </x:c>
      <x:c r="G4" s="7" t="str">
        <x:v>Proposed fix</x:v>
      </x:c>
      <x:c r="H4" s="7" t="str">
        <x:v>Closure check</x:v>
      </x:c>
    </x:row>
    <x:row r="5" ht="39" customHeight="1">
      <x:c r="A5" s="9" t="n">
        <x:v>1</x:v>
      </x:c>
      <x:c r="B5" s="9" t="str">
        <x:v>H01</x:v>
      </x:c>
      <x:c r="C5" s="9" t="str">
        <x:v>High</x:v>
      </x:c>
      <x:c r="D5" s="9" t="str">
        <x:v>Preparation action changes without support</x:v>
      </x:c>
      <x:c r="E5" s="9" t="str">
        <x:v>A02</x:v>
      </x:c>
      <x:c r="F5" s="9" t="str">
        <x:v>The review says stir parsley into soup. Published instructions use parsley as a garnish instead. Both audits approved it.</x:v>
      </x:c>
      <x:c r="G5" s="9" t="str">
        <x:v>Represent and validate preparation actions and their targets, not only ingredient presence. Add a stir-versus-garnish regression.</x:v>
      </x:c>
      <x:c r="H5" s="9" t="str">
        <x:v>Parsley is explicitly stirred in before serving; the wrong action is rejected in fresh and repeated cases.</x:v>
      </x:c>
    </x:row>
    <x:row r="6" ht="54" customHeight="1">
      <x:c r="A6" s="10" t="n">
        <x:v>2</x:v>
      </x:c>
      <x:c r="B6" s="10" t="str">
        <x:v>H02</x:v>
      </x:c>
      <x:c r="C6" s="10" t="str">
        <x:v>High</x:v>
      </x:c>
      <x:c r="D6" s="10" t="str">
        <x:v>Published description contradicts ingredient removal</x:v>
      </x:c>
      <x:c r="E6" s="10" t="str">
        <x:v>M04</x:v>
      </x:c>
      <x:c r="F6" s="10" t="str">
        <x:v>Three repeats publish peanut-free ingredients while the enhanced description still says topped with honey-roasted peanuts. Another run withholds this conflict.</x:v>
      </x:c>
      <x:c r="G6" s="10" t="str">
        <x:v>Include affected descriptions in the edit scope or omit stale descriptions; validate the complete published recipe consistently.</x:v>
      </x:c>
      <x:c r="H6" s="10" t="str">
        <x:v>No published field claims peanuts remain after removal; repeated responses agree.</x:v>
      </x:c>
    </x:row>
    <x:row r="7" ht="39" customHeight="1">
      <x:c r="A7" s="9" t="n">
        <x:v>3</x:v>
      </x:c>
      <x:c r="B7" s="9" t="str">
        <x:v>H03</x:v>
      </x:c>
      <x:c r="C7" s="9" t="str">
        <x:v>High</x:v>
      </x:c>
      <x:c r="D7" s="9" t="str">
        <x:v>Cooking durations misclassified as ingredient quantities</x:v>
      </x:c>
      <x:c r="E7" s="9" t="str">
        <x:v>T01, T02</x:v>
      </x:c>
      <x:c r="F7" s="9" t="str">
        <x:v>12-minute baking and 4-hour marination are sent to ingredient quantity matching and rejected as missing ingredients.</x:v>
      </x:c>
      <x:c r="G7" s="9" t="str">
        <x:v>Separate duration and temperature intents from ingredient amounts before quantity arithmetic.</x:v>
      </x:c>
      <x:c r="H7" s="9" t="str">
        <x:v>Both duration requests apply without ingredient changes; new duration phrasings pass.</x:v>
      </x:c>
    </x:row>
    <x:row r="8" ht="54" customHeight="1">
      <x:c r="A8" s="10" t="n">
        <x:v>4</x:v>
      </x:c>
      <x:c r="B8" s="10" t="str">
        <x:v>H04</x:v>
      </x:c>
      <x:c r="C8" s="10" t="str">
        <x:v>High</x:v>
      </x:c>
      <x:c r="D8" s="10" t="str">
        <x:v>Complex plans remain incomplete or misordered</x:v>
      </x:c>
      <x:c r="E8" s="10" t="str">
        <x:v>M02</x:v>
      </x:c>
      <x:c r="F8" s="10" t="str">
        <x:v>Only 2 of 5 runs complete. Two runs chill before the dough is fully mixed. Another omits cinnamon from ingredients. Safeguards withhold these outputs.</x:v>
      </x:c>
      <x:c r="G8" s="10" t="str">
        <x:v>Require each addition in both ingredients and preparation, and model chilling after mixing as well as before shaping.</x:v>
      </x:c>
      <x:c r="H8" s="10" t="str">
        <x:v>All required changes and ordering pass repeated runs; invalid candidates remain unpublished.</x:v>
      </x:c>
    </x:row>
    <x:row r="9" ht="39" customHeight="1">
      <x:c r="A9" s="9" t="n">
        <x:v>5</x:v>
      </x:c>
      <x:c r="B9" s="9" t="str">
        <x:v>H05</x:v>
      </x:c>
      <x:c r="C9" s="9" t="str">
        <x:v>High</x:v>
      </x:c>
      <x:c r="D9" s="9" t="str">
        <x:v>Quantity text lock rejects equivalent grammar</x:v>
      </x:c>
      <x:c r="E9" s="9" t="str">
        <x:v>M03</x:v>
      </x:c>
      <x:c r="F9" s="9" t="str">
        <x:v>Two runs are rejected when repair changes '1 cups mango nectar' to '1 cup mango nectar'. The numerical quantity is unchanged.</x:v>
      </x:c>
      <x:c r="G9" s="9" t="str">
        <x:v>Generate grammatical unit text and compare structured quantity, unit and ingredient identity when protecting calculated edits.</x:v>
      </x:c>
      <x:c r="H9" s="9" t="str">
        <x:v>Equivalent singular/plural formatting is accepted without allowing quantity overrides.</x:v>
      </x:c>
    </x:row>
    <x:row r="10" ht="39" customHeight="1">
      <x:c r="A10" s="10" t="n">
        <x:v>6</x:v>
      </x:c>
      <x:c r="B10" s="10" t="str">
        <x:v>H06</x:v>
      </x:c>
      <x:c r="C10" s="10" t="str">
        <x:v>High</x:v>
      </x:c>
      <x:c r="D10" s="10" t="str">
        <x:v>Ingredient preparation words cause false rejection</x:v>
      </x:c>
      <x:c r="E10" s="10" t="str">
        <x:v>A01</x:v>
      </x:c>
      <x:c r="F10" s="10" t="str">
        <x:v>The checker requires 'finely grated orange zest' verbatim in instructions and rejects the valid short name 'orange zest'.</x:v>
      </x:c>
      <x:c r="G10" s="10" t="str">
        <x:v>Normalize ingredient identity separately from preparation descriptors while retaining ambiguity checks.</x:v>
      </x:c>
      <x:c r="H10" s="10" t="str">
        <x:v>Orange-zest addition passes with the short use name; genuinely missing uses still fail.</x:v>
      </x:c>
    </x:row>
    <x:row r="11" ht="54" customHeight="1">
      <x:c r="A11" s="9" t="n">
        <x:v>7</x:v>
      </x:c>
      <x:c r="B11" s="9" t="str">
        <x:v>O01</x:v>
      </x:c>
      <x:c r="C11" s="9" t="str">
        <x:v>Medium</x:v>
      </x:c>
      <x:c r="D11" s="9" t="str">
        <x:v>Provider failures interrupt repeated requests</x:v>
      </x:c>
      <x:c r="E11" s="9" t="str">
        <x:v>M03 run 5, M04 run 5, T03 runs 4-5</x:v>
      </x:c>
      <x:c r="F11" s="9" t="str">
        <x:v>Three HTTP 502 responses name RateLimitError. One further run returns failed because consistency validation could not complete. No enhanced recipe is returned.</x:v>
      </x:c>
      <x:c r="G11" s="9" t="str">
        <x:v>Identify provider rate-limit versus quota failures, expose actionable errors, and add bounded backoff only for retryable failures.</x:v>
      </x:c>
      <x:c r="H11" s="9" t="str">
        <x:v>Recoverable failures are bounded and explained; no partial publication. Retest affected cases after provider capacity is confirmed.</x:v>
      </x:c>
    </x:row>
  </x:sheetData>
  <x:pageMargins left="0.7" right="0.7" top="0.75" bottom="0.75" header="0.3" footer="0.3"/>
  <x:tableParts count="1">
    <x:tablePart xmlns:r="http://schemas.openxmlformats.org/officeDocument/2006/relationships" r:id="Rb3002fc640b34ee7"/>
  </x:tableParts>
</x:worksheet>
</file>

<file path=xl/worksheets/sheet5.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0" hidden="0" customWidth="1"/>
    <x:col min="2" max="2" width="9" hidden="0" customWidth="1"/>
    <x:col min="3" max="3" width="18" hidden="0" customWidth="1"/>
    <x:col min="4" max="4" width="16" hidden="0" customWidth="1"/>
    <x:col min="5" max="5" width="85" hidden="0" customWidth="1"/>
    <x:col min="6" max="6" width="85" hidden="0" customWidth="1"/>
  </x:cols>
  <x:sheetData>
    <x:row r="1" ht="28" customHeight="1">
      <x:c r="A1" s="2" t="str">
        <x:v>Published recipe changes</x:v>
      </x:c>
      <x:c r="B1" s="1"/>
      <x:c r="C1" s="1"/>
      <x:c r="D1" s="1"/>
      <x:c r="E1" s="1"/>
      <x:c r="F1" s="1"/>
    </x:row>
    <x:row r="2">
      <x:c r="A2" s="3" t="str">
        <x:v>Exact before-and-after records. M04 description rows expose the retained contradiction.</x:v>
      </x:c>
      <x:c r="B2" s="1"/>
      <x:c r="C2" s="1"/>
      <x:c r="D2" s="1"/>
      <x:c r="E2" s="1"/>
      <x:c r="F2" s="1"/>
    </x:row>
    <x:row r="3">
      <x:c r="A3" s="4"/>
      <x:c r="B3" s="4"/>
      <x:c r="C3" s="4"/>
      <x:c r="D3" s="4"/>
      <x:c r="E3" s="4"/>
      <x:c r="F3" s="4"/>
    </x:row>
    <x:row r="4" ht="34" customHeight="1">
      <x:c r="A4" s="7" t="str">
        <x:v>Case</x:v>
      </x:c>
      <x:c r="B4" s="7" t="str">
        <x:v>Run</x:v>
      </x:c>
      <x:c r="C4" s="7" t="str">
        <x:v>Field</x:v>
      </x:c>
      <x:c r="D4" s="7" t="str">
        <x:v>Operation</x:v>
      </x:c>
      <x:c r="E4" s="7" t="str">
        <x:v>Before</x:v>
      </x:c>
      <x:c r="F4" s="7" t="str">
        <x:v>After</x:v>
      </x:c>
    </x:row>
    <x:row r="5" ht="32" customHeight="1">
      <x:c r="A5" s="9" t="str">
        <x:v>Q01</x:v>
      </x:c>
      <x:c r="B5" s="9" t="n">
        <x:v>1</x:v>
      </x:c>
      <x:c r="C5" s="9" t="str">
        <x:v>ingredient</x:v>
      </x:c>
      <x:c r="D5" s="9" t="str">
        <x:v>replace</x:v>
      </x:c>
      <x:c r="E5" s="9" t="str">
        <x:v>1 cup white sugar</x:v>
      </x:c>
      <x:c r="F5" s="9" t="str">
        <x:v>3/4 cup white sugar</x:v>
      </x:c>
    </x:row>
    <x:row r="6" ht="39" customHeight="1">
      <x:c r="A6" s="10" t="str">
        <x:v>Q01</x:v>
      </x:c>
      <x:c r="B6" s="10" t="n">
        <x:v>1</x:v>
      </x:c>
      <x:c r="C6" s="10" t="str">
        <x:v>instruction</x:v>
      </x:c>
      <x:c r="D6" s="10" t="str">
        <x:v>replace</x:v>
      </x:c>
      <x:c r="E6" s="10" t="str">
        <x:v>Preheat the oven to 350 degrees F (175 degrees C). Beat butter, white sugar, and brown sugar with an electric mixer in a large bowl until smooth.</x:v>
      </x:c>
      <x:c r="F6" s="10" t="str">
        <x:v>Preheat the oven to 350 degrees F (175 degrees C). Beat butter, 3/4 cup white sugar, and brown sugar with an electric mixer in a large bowl until smooth.</x:v>
      </x:c>
    </x:row>
    <x:row r="7" ht="32" customHeight="1">
      <x:c r="A7" s="9" t="str">
        <x:v>Q02</x:v>
      </x:c>
      <x:c r="B7" s="9" t="n">
        <x:v>1</x:v>
      </x:c>
      <x:c r="C7" s="9" t="str">
        <x:v>ingredient</x:v>
      </x:c>
      <x:c r="D7" s="9" t="str">
        <x:v>replace</x:v>
      </x:c>
      <x:c r="E7" s="9" t="str">
        <x:v>3 cups all-purpose flour</x:v>
      </x:c>
      <x:c r="F7" s="9" t="str">
        <x:v>2 cups all-purpose flour</x:v>
      </x:c>
    </x:row>
    <x:row r="8" ht="32" customHeight="1">
      <x:c r="A8" s="10" t="str">
        <x:v>Q02</x:v>
      </x:c>
      <x:c r="B8" s="10" t="n">
        <x:v>1</x:v>
      </x:c>
      <x:c r="C8" s="10" t="str">
        <x:v>instruction</x:v>
      </x:c>
      <x:c r="D8" s="10" t="str">
        <x:v>replace</x:v>
      </x:c>
      <x:c r="E8" s="10" t="str">
        <x:v>Stir in flour, chocolate chips, and walnuts.</x:v>
      </x:c>
      <x:c r="F8" s="10" t="str">
        <x:v>Stir in 2 cups all-purpose flour, chocolate chips, and walnuts.</x:v>
      </x:c>
    </x:row>
    <x:row r="9" ht="32" customHeight="1">
      <x:c r="A9" s="9" t="str">
        <x:v>Q03</x:v>
      </x:c>
      <x:c r="B9" s="9" t="n">
        <x:v>1</x:v>
      </x:c>
      <x:c r="C9" s="9" t="str">
        <x:v>ingredient</x:v>
      </x:c>
      <x:c r="D9" s="9" t="str">
        <x:v>replace</x:v>
      </x:c>
      <x:c r="E9" s="9" t="str">
        <x:v>2 teaspoons vanilla extract</x:v>
      </x:c>
      <x:c r="F9" s="9" t="str">
        <x:v>4 teaspoons vanilla extract</x:v>
      </x:c>
    </x:row>
    <x:row r="10" ht="32" customHeight="1">
      <x:c r="A10" s="10" t="str">
        <x:v>Q03</x:v>
      </x:c>
      <x:c r="B10" s="10" t="n">
        <x:v>1</x:v>
      </x:c>
      <x:c r="C10" s="10" t="str">
        <x:v>instruction</x:v>
      </x:c>
      <x:c r="D10" s="10" t="str">
        <x:v>replace</x:v>
      </x:c>
      <x:c r="E10" s="10" t="str">
        <x:v>Beat in eggs, one at a time, then stir in vanilla.</x:v>
      </x:c>
      <x:c r="F10" s="10" t="str">
        <x:v>Beat in eggs, one at a time, then stir in 4 teaspoons vanilla extract.</x:v>
      </x:c>
    </x:row>
    <x:row r="11" ht="32" customHeight="1">
      <x:c r="A11" s="9" t="str">
        <x:v>Q04</x:v>
      </x:c>
      <x:c r="B11" s="9" t="n">
        <x:v>1</x:v>
      </x:c>
      <x:c r="C11" s="9" t="str">
        <x:v>ingredient</x:v>
      </x:c>
      <x:c r="D11" s="9" t="str">
        <x:v>replace</x:v>
      </x:c>
      <x:c r="E11" s="9" t="str">
        <x:v>3 cups chicken broth, homemade or from a carton or can</x:v>
      </x:c>
      <x:c r="F11" s="9" t="str">
        <x:v>4 cups chicken broth, homemade or from a carton or can</x:v>
      </x:c>
    </x:row>
    <x:row r="12" ht="54" customHeight="1">
      <x:c r="A12" s="10" t="str">
        <x:v>Q04</x:v>
      </x:c>
      <x:c r="B12" s="10" t="n">
        <x:v>1</x:v>
      </x:c>
      <x:c r="C12" s="10" t="str">
        <x:v>instruction</x:v>
      </x:c>
      <x:c r="D12" s="10" t="str">
        <x:v>replace</x:v>
      </x:c>
      <x:c r="E12" s="10" t="str">
        <x:v>Add broth; bring to a simmer over medium-high heat. Reduce heat to low and simmer, partially covered, until sweet potatoes are tender, about 10 minutes.</x:v>
      </x:c>
      <x:c r="F12" s="10" t="str">
        <x:v>Add 4 cups chicken broth; bring to a simmer over medium-high heat. Reduce heat to low and simmer, partially covered, until sweet potatoes are tender, about 10 minutes.</x:v>
      </x:c>
    </x:row>
    <x:row r="13" ht="32" customHeight="1">
      <x:c r="A13" s="9" t="str">
        <x:v>Q05</x:v>
      </x:c>
      <x:c r="B13" s="9" t="n">
        <x:v>1</x:v>
      </x:c>
      <x:c r="C13" s="9" t="str">
        <x:v>ingredient</x:v>
      </x:c>
      <x:c r="D13" s="9" t="str">
        <x:v>replace</x:v>
      </x:c>
      <x:c r="E13" s="9" t="str">
        <x:v>0.75 cup dried cherries</x:v>
      </x:c>
      <x:c r="F13" s="9" t="str">
        <x:v>1/2 cup dried cherries</x:v>
      </x:c>
    </x:row>
    <x:row r="14" ht="54" customHeight="1">
      <x:c r="A14" s="10" t="str">
        <x:v>Q05</x:v>
      </x:c>
      <x:c r="B14" s="10" t="n">
        <x:v>1</x:v>
      </x:c>
      <x:c r="C14" s="10" t="str">
        <x:v>instruction</x:v>
      </x:c>
      <x:c r="D14" s="10" t="str">
        <x:v>replace</x:v>
      </x:c>
      <x:c r="E14" s="10" t="str">
        <x:v>In a blender, thoroughly mix mango nectar, teriyaki sauce, dried cherries, garlic, salt and pepper. In the refrigerator, marinate meat in the mixture at least 2 hours before grilling as desired.</x:v>
      </x:c>
      <x:c r="F14" s="10" t="str">
        <x:v>In a blender, thoroughly mix mango nectar, teriyaki sauce, 1/2 cup dried cherries, garlic, salt and pepper. In the refrigerator, marinate meat in the mixture at least 2 hours before grilling as desired.</x:v>
      </x:c>
    </x:row>
    <x:row r="15" ht="32" customHeight="1">
      <x:c r="A15" s="9" t="str">
        <x:v>Q06</x:v>
      </x:c>
      <x:c r="B15" s="9" t="n">
        <x:v>1</x:v>
      </x:c>
      <x:c r="C15" s="9" t="str">
        <x:v>ingredient</x:v>
      </x:c>
      <x:c r="D15" s="9" t="str">
        <x:v>replace</x:v>
      </x:c>
      <x:c r="E15" s="9" t="str">
        <x:v>0.25 cup sake</x:v>
      </x:c>
      <x:c r="F15" s="9" t="str">
        <x:v>1/8 cup sake</x:v>
      </x:c>
    </x:row>
    <x:row r="16" ht="54" customHeight="1">
      <x:c r="A16" s="10" t="str">
        <x:v>Q06</x:v>
      </x:c>
      <x:c r="B16" s="10" t="n">
        <x:v>1</x:v>
      </x:c>
      <x:c r="C16" s="10" t="str">
        <x:v>instruction</x:v>
      </x:c>
      <x:c r="D16" s="10" t="str">
        <x:v>replace</x:v>
      </x:c>
      <x:c r="E16" s="10" t="str">
        <x:v>Heat the oil in a large skillet over medium heat; cook the beef in the oil until browned. Add the potatoes; cook and stir until soft, 5 to 7 minutes. Stir the dashi soup, soy sauce, sake, and sugar into the mixture; simmer for 10 minutes.</x:v>
      </x:c>
      <x:c r="F16" s="10" t="str">
        <x:v>Heat the oil in a large skillet over medium heat; cook the beef in the oil until browned. Add the potatoes; cook and stir until soft, 5 to 7 minutes. Stir the dashi soup, soy sauce, 1/8 cup sake, and sugar into the mixture; simmer for 10 minutes.</x:v>
      </x:c>
    </x:row>
    <x:row r="17" ht="32" customHeight="1">
      <x:c r="A17" s="9" t="str">
        <x:v>Q07</x:v>
      </x:c>
      <x:c r="B17" s="9" t="n">
        <x:v>1</x:v>
      </x:c>
      <x:c r="C17" s="9" t="str">
        <x:v>ingredient</x:v>
      </x:c>
      <x:c r="D17" s="9" t="str">
        <x:v>replace</x:v>
      </x:c>
      <x:c r="E17" s="9" t="str">
        <x:v>2 cups sifted confectioners' sugar</x:v>
      </x:c>
      <x:c r="F17" s="9" t="str">
        <x:v>1 1/2 cups sifted confectioners' sugar</x:v>
      </x:c>
    </x:row>
    <x:row r="18" ht="69" customHeight="1">
      <x:c r="A18" s="10" t="str">
        <x:v>Q07</x:v>
      </x:c>
      <x:c r="B18" s="10" t="n">
        <x:v>1</x:v>
      </x:c>
      <x:c r="C18" s="10" t="str">
        <x:v>instruction</x:v>
      </x:c>
      <x:c r="D18" s="10" t="str">
        <x:v>replace</x:v>
      </x:c>
      <x:c r="E18" s="10" t="str">
        <x:v>Combine confectioners&amp;#39; sugar, 1/4 cup shortening, 1/4 teaspoon cinnamon, and nutmeg in a medium bowl. Beat until frosting is light and creamy. Beat in evaporated milk 1 tablespoon at a time until desired spreading consistency is reached. Spread over top of cooled cake.</x:v>
      </x:c>
      <x:c r="F18" s="10" t="str">
        <x:v>Combine 1 1/2 cups sifted confectioners' sugar, 1/4 cup shortening, 1/4 teaspoon cinnamon, and nutmeg in a medium bowl. Beat until frosting is light and creamy. Beat in evaporated milk 1 tablespoon at a time until desired spreading consistency is reached. Spread over top of cooled cake.</x:v>
      </x:c>
    </x:row>
    <x:row r="19" ht="32" customHeight="1">
      <x:c r="A19" s="9" t="str">
        <x:v>Q08</x:v>
      </x:c>
      <x:c r="B19" s="9" t="n">
        <x:v>1</x:v>
      </x:c>
      <x:c r="C19" s="9" t="str">
        <x:v>ingredient</x:v>
      </x:c>
      <x:c r="D19" s="9" t="str">
        <x:v>replace</x:v>
      </x:c>
      <x:c r="E19" s="9" t="str">
        <x:v>2 eggs</x:v>
      </x:c>
      <x:c r="F19" s="9" t="str">
        <x:v>3 eggs</x:v>
      </x:c>
    </x:row>
    <x:row r="20" ht="32" customHeight="1">
      <x:c r="A20" s="10" t="str">
        <x:v>S01</x:v>
      </x:c>
      <x:c r="B20" s="10" t="n">
        <x:v>1</x:v>
      </x:c>
      <x:c r="C20" s="10" t="str">
        <x:v>ingredient</x:v>
      </x:c>
      <x:c r="D20" s="10" t="str">
        <x:v>replace</x:v>
      </x:c>
      <x:c r="E20" s="10" t="str">
        <x:v>1 cup chopped walnuts</x:v>
      </x:c>
      <x:c r="F20" s="10" t="str">
        <x:v>1 cup chopped pecans</x:v>
      </x:c>
    </x:row>
    <x:row r="21" ht="32" customHeight="1">
      <x:c r="A21" s="9" t="str">
        <x:v>S01</x:v>
      </x:c>
      <x:c r="B21" s="9" t="n">
        <x:v>1</x:v>
      </x:c>
      <x:c r="C21" s="9" t="str">
        <x:v>instruction</x:v>
      </x:c>
      <x:c r="D21" s="9" t="str">
        <x:v>replace</x:v>
      </x:c>
      <x:c r="E21" s="9" t="str">
        <x:v>Stir in flour, chocolate chips, and walnuts.</x:v>
      </x:c>
      <x:c r="F21" s="9" t="str">
        <x:v>Stir in flour, chocolate chips, and pecans.</x:v>
      </x:c>
    </x:row>
    <x:row r="22" ht="32" customHeight="1">
      <x:c r="A22" s="10" t="str">
        <x:v>S02</x:v>
      </x:c>
      <x:c r="B22" s="10" t="n">
        <x:v>1</x:v>
      </x:c>
      <x:c r="C22" s="10" t="str">
        <x:v>ingredient</x:v>
      </x:c>
      <x:c r="D22" s="10" t="str">
        <x:v>replace</x:v>
      </x:c>
      <x:c r="E22" s="10" t="str">
        <x:v>2 cups semisweet chocolate chips</x:v>
      </x:c>
      <x:c r="F22" s="10" t="str">
        <x:v>2 cups milk chocolate chips</x:v>
      </x:c>
    </x:row>
    <x:row r="23" ht="32" customHeight="1">
      <x:c r="A23" s="9" t="str">
        <x:v>S02</x:v>
      </x:c>
      <x:c r="B23" s="9" t="n">
        <x:v>1</x:v>
      </x:c>
      <x:c r="C23" s="9" t="str">
        <x:v>instruction</x:v>
      </x:c>
      <x:c r="D23" s="9" t="str">
        <x:v>replace</x:v>
      </x:c>
      <x:c r="E23" s="9" t="str">
        <x:v>Stir in flour, chocolate chips, and walnuts.</x:v>
      </x:c>
      <x:c r="F23" s="9" t="str">
        <x:v>Stir in flour, milk chocolate chips, and walnuts.</x:v>
      </x:c>
    </x:row>
    <x:row r="24" ht="32" customHeight="1">
      <x:c r="A24" s="10" t="str">
        <x:v>S03</x:v>
      </x:c>
      <x:c r="B24" s="10" t="n">
        <x:v>1</x:v>
      </x:c>
      <x:c r="C24" s="10" t="str">
        <x:v>ingredient</x:v>
      </x:c>
      <x:c r="D24" s="10" t="str">
        <x:v>replace</x:v>
      </x:c>
      <x:c r="E24" s="10" t="str">
        <x:v>3 cups chicken broth, homemade or from a carton or can</x:v>
      </x:c>
      <x:c r="F24" s="10" t="str">
        <x:v>3 cups vegetable broth</x:v>
      </x:c>
    </x:row>
    <x:row r="25" ht="39" customHeight="1">
      <x:c r="A25" s="9" t="str">
        <x:v>S03</x:v>
      </x:c>
      <x:c r="B25" s="9" t="n">
        <x:v>1</x:v>
      </x:c>
      <x:c r="C25" s="9" t="str">
        <x:v>instruction</x:v>
      </x:c>
      <x:c r="D25" s="9" t="str">
        <x:v>replace</x:v>
      </x:c>
      <x:c r="E25" s="9" t="str">
        <x:v>Add broth; bring to a simmer over medium-high heat. Reduce heat to low and simmer, partially covered, until sweet potatoes are tender, about 10 minutes.</x:v>
      </x:c>
      <x:c r="F25" s="9" t="str">
        <x:v>Add vegetable broth; bring to a simmer over medium-high heat. Reduce heat to low and simmer, partially covered, until sweet potatoes are tender, about 10 minutes.</x:v>
      </x:c>
    </x:row>
    <x:row r="26" ht="32" customHeight="1">
      <x:c r="A26" s="10" t="str">
        <x:v>S04</x:v>
      </x:c>
      <x:c r="B26" s="10" t="n">
        <x:v>1</x:v>
      </x:c>
      <x:c r="C26" s="10" t="str">
        <x:v>ingredient</x:v>
      </x:c>
      <x:c r="D26" s="10" t="str">
        <x:v>replace</x:v>
      </x:c>
      <x:c r="E26" s="10" t="str">
        <x:v>0.75 cup dried cherries</x:v>
      </x:c>
      <x:c r="F26" s="10" t="str">
        <x:v>0.75 cup dried cranberries</x:v>
      </x:c>
    </x:row>
    <x:row r="27" ht="54" customHeight="1">
      <x:c r="A27" s="9" t="str">
        <x:v>S04</x:v>
      </x:c>
      <x:c r="B27" s="9" t="n">
        <x:v>1</x:v>
      </x:c>
      <x:c r="C27" s="9" t="str">
        <x:v>instruction</x:v>
      </x:c>
      <x:c r="D27" s="9" t="str">
        <x:v>replace</x:v>
      </x:c>
      <x:c r="E27" s="9" t="str">
        <x:v>In a blender, thoroughly mix mango nectar, teriyaki sauce, dried cherries, garlic, salt and pepper. In the refrigerator, marinate meat in the mixture at least 2 hours before grilling as desired.</x:v>
      </x:c>
      <x:c r="F27" s="9" t="str">
        <x:v>In a blender, thoroughly mix mango nectar, teriyaki sauce, dried cranberries, garlic, salt and pepper. In the refrigerator, marinate meat in the mixture at least 2 hours before grilling as desired.</x:v>
      </x:c>
    </x:row>
    <x:row r="28" ht="32" customHeight="1">
      <x:c r="A28" s="10" t="str">
        <x:v>S05</x:v>
      </x:c>
      <x:c r="B28" s="10" t="n">
        <x:v>1</x:v>
      </x:c>
      <x:c r="C28" s="10" t="str">
        <x:v>ingredient</x:v>
      </x:c>
      <x:c r="D28" s="10" t="str">
        <x:v>replace</x:v>
      </x:c>
      <x:c r="E28" s="10" t="str">
        <x:v>1.5 cups mango nectar</x:v>
      </x:c>
      <x:c r="F28" s="10" t="str">
        <x:v>1.5 cups pineapple juice</x:v>
      </x:c>
    </x:row>
    <x:row r="29" ht="54" customHeight="1">
      <x:c r="A29" s="9" t="str">
        <x:v>S05</x:v>
      </x:c>
      <x:c r="B29" s="9" t="n">
        <x:v>1</x:v>
      </x:c>
      <x:c r="C29" s="9" t="str">
        <x:v>instruction</x:v>
      </x:c>
      <x:c r="D29" s="9" t="str">
        <x:v>replace</x:v>
      </x:c>
      <x:c r="E29" s="9" t="str">
        <x:v>In a blender, thoroughly mix mango nectar, teriyaki sauce, dried cherries, garlic, salt and pepper. In the refrigerator, marinate meat in the mixture at least 2 hours before grilling as desired.</x:v>
      </x:c>
      <x:c r="F29" s="9" t="str">
        <x:v>In a blender, thoroughly mix pineapple juice, teriyaki sauce, dried cherries, garlic, salt and pepper. In the refrigerator, marinate meat in the mixture at least 2 hours before grilling as desired.</x:v>
      </x:c>
    </x:row>
    <x:row r="30" ht="32" customHeight="1">
      <x:c r="A30" s="10" t="str">
        <x:v>S06</x:v>
      </x:c>
      <x:c r="B30" s="10" t="n">
        <x:v>1</x:v>
      </x:c>
      <x:c r="C30" s="10" t="str">
        <x:v>ingredient</x:v>
      </x:c>
      <x:c r="D30" s="10" t="str">
        <x:v>replace</x:v>
      </x:c>
      <x:c r="E30" s="10" t="str">
        <x:v>0.25 cup soy sauce</x:v>
      </x:c>
      <x:c r="F30" s="10" t="str">
        <x:v>0.25 cup tamari</x:v>
      </x:c>
    </x:row>
    <x:row r="31" ht="54" customHeight="1">
      <x:c r="A31" s="9" t="str">
        <x:v>S06</x:v>
      </x:c>
      <x:c r="B31" s="9" t="n">
        <x:v>1</x:v>
      </x:c>
      <x:c r="C31" s="9" t="str">
        <x:v>instruction</x:v>
      </x:c>
      <x:c r="D31" s="9" t="str">
        <x:v>replace</x:v>
      </x:c>
      <x:c r="E31" s="9" t="str">
        <x:v>Heat the oil in a large skillet over medium heat; cook the beef in the oil until browned. Add the potatoes; cook and stir until soft, 5 to 7 minutes. Stir the dashi soup, soy sauce, sake, and sugar into the mixture; simmer for 10 minutes.</x:v>
      </x:c>
      <x:c r="F31" s="9" t="str">
        <x:v>Heat the oil in a large skillet over medium heat; cook the beef in the oil until browned. Add the potatoes; cook and stir until soft, 5 to 7 minutes. Stir the dashi soup, tamari, sake, and sugar into the mixture; simmer for 10 minutes.</x:v>
      </x:c>
    </x:row>
    <x:row r="32" ht="32" customHeight="1">
      <x:c r="A32" s="10" t="str">
        <x:v>M01</x:v>
      </x:c>
      <x:c r="B32" s="10" t="n">
        <x:v>1</x:v>
      </x:c>
      <x:c r="C32" s="10" t="str">
        <x:v>ingredient</x:v>
      </x:c>
      <x:c r="D32" s="10" t="str">
        <x:v>replace</x:v>
      </x:c>
      <x:c r="E32" s="10" t="str">
        <x:v>1 cup white sugar</x:v>
      </x:c>
      <x:c r="F32" s="10" t="str">
        <x:v>3/4 cup white sugar</x:v>
      </x:c>
    </x:row>
    <x:row r="33" ht="32" customHeight="1">
      <x:c r="A33" s="9" t="str">
        <x:v>M01</x:v>
      </x:c>
      <x:c r="B33" s="9" t="n">
        <x:v>1</x:v>
      </x:c>
      <x:c r="C33" s="9" t="str">
        <x:v>ingredient</x:v>
      </x:c>
      <x:c r="D33" s="9" t="str">
        <x:v>replace</x:v>
      </x:c>
      <x:c r="E33" s="9" t="str">
        <x:v>2 eggs</x:v>
      </x:c>
      <x:c r="F33" s="9" t="str">
        <x:v>3 eggs</x:v>
      </x:c>
    </x:row>
    <x:row r="34" ht="32" customHeight="1">
      <x:c r="A34" s="10" t="str">
        <x:v>M01</x:v>
      </x:c>
      <x:c r="B34" s="10" t="n">
        <x:v>1</x:v>
      </x:c>
      <x:c r="C34" s="10" t="str">
        <x:v>ingredient</x:v>
      </x:c>
      <x:c r="D34" s="10" t="str">
        <x:v>replace</x:v>
      </x:c>
      <x:c r="E34" s="10" t="str">
        <x:v>1 cup chopped walnuts</x:v>
      </x:c>
      <x:c r="F34" s="10" t="str">
        <x:v>1 cup chopped pecans</x:v>
      </x:c>
    </x:row>
    <x:row r="35" ht="32" customHeight="1">
      <x:c r="A35" s="9" t="str">
        <x:v>M01</x:v>
      </x:c>
      <x:c r="B35" s="9" t="n">
        <x:v>1</x:v>
      </x:c>
      <x:c r="C35" s="9" t="str">
        <x:v>instruction</x:v>
      </x:c>
      <x:c r="D35" s="9" t="str">
        <x:v>replace</x:v>
      </x:c>
      <x:c r="E35" s="9" t="str">
        <x:v>Stir in flour, chocolate chips, and walnuts.</x:v>
      </x:c>
      <x:c r="F35" s="9" t="str">
        <x:v>Stir in flour, chocolate chips, and pecans.</x:v>
      </x:c>
    </x:row>
    <x:row r="36" ht="32" customHeight="1">
      <x:c r="A36" s="10" t="str">
        <x:v>M01</x:v>
      </x:c>
      <x:c r="B36" s="10" t="n">
        <x:v>2</x:v>
      </x:c>
      <x:c r="C36" s="10" t="str">
        <x:v>ingredient</x:v>
      </x:c>
      <x:c r="D36" s="10" t="str">
        <x:v>replace</x:v>
      </x:c>
      <x:c r="E36" s="10" t="str">
        <x:v>1 cup white sugar</x:v>
      </x:c>
      <x:c r="F36" s="10" t="str">
        <x:v>3/4 cup white sugar</x:v>
      </x:c>
    </x:row>
    <x:row r="37" ht="32" customHeight="1">
      <x:c r="A37" s="9" t="str">
        <x:v>M01</x:v>
      </x:c>
      <x:c r="B37" s="9" t="n">
        <x:v>2</x:v>
      </x:c>
      <x:c r="C37" s="9" t="str">
        <x:v>ingredient</x:v>
      </x:c>
      <x:c r="D37" s="9" t="str">
        <x:v>replace</x:v>
      </x:c>
      <x:c r="E37" s="9" t="str">
        <x:v>2 eggs</x:v>
      </x:c>
      <x:c r="F37" s="9" t="str">
        <x:v>3 eggs</x:v>
      </x:c>
    </x:row>
    <x:row r="38" ht="32" customHeight="1">
      <x:c r="A38" s="10" t="str">
        <x:v>M01</x:v>
      </x:c>
      <x:c r="B38" s="10" t="n">
        <x:v>2</x:v>
      </x:c>
      <x:c r="C38" s="10" t="str">
        <x:v>ingredient</x:v>
      </x:c>
      <x:c r="D38" s="10" t="str">
        <x:v>remove</x:v>
      </x:c>
      <x:c r="E38" s="10" t="str">
        <x:v>1 cup chopped walnuts</x:v>
      </x:c>
      <x:c r="F38" s="10" t="str"/>
    </x:row>
    <x:row r="39" ht="32" customHeight="1">
      <x:c r="A39" s="9" t="str">
        <x:v>M01</x:v>
      </x:c>
      <x:c r="B39" s="9" t="n">
        <x:v>2</x:v>
      </x:c>
      <x:c r="C39" s="9" t="str">
        <x:v>ingredient</x:v>
      </x:c>
      <x:c r="D39" s="9" t="str">
        <x:v>add</x:v>
      </x:c>
      <x:c r="E39" s="9" t="str"/>
      <x:c r="F39" s="9" t="str">
        <x:v>1 cup chopped pecans</x:v>
      </x:c>
    </x:row>
    <x:row r="40" ht="32" customHeight="1">
      <x:c r="A40" s="10" t="str">
        <x:v>M01</x:v>
      </x:c>
      <x:c r="B40" s="10" t="n">
        <x:v>2</x:v>
      </x:c>
      <x:c r="C40" s="10" t="str">
        <x:v>instruction</x:v>
      </x:c>
      <x:c r="D40" s="10" t="str">
        <x:v>replace</x:v>
      </x:c>
      <x:c r="E40" s="10" t="str">
        <x:v>Stir in flour, chocolate chips, and walnuts.</x:v>
      </x:c>
      <x:c r="F40" s="10" t="str">
        <x:v>Stir in flour, chocolate chips, and pecans.</x:v>
      </x:c>
    </x:row>
    <x:row r="41" ht="32" customHeight="1">
      <x:c r="A41" s="9" t="str">
        <x:v>M01</x:v>
      </x:c>
      <x:c r="B41" s="9" t="n">
        <x:v>3</x:v>
      </x:c>
      <x:c r="C41" s="9" t="str">
        <x:v>ingredient</x:v>
      </x:c>
      <x:c r="D41" s="9" t="str">
        <x:v>replace</x:v>
      </x:c>
      <x:c r="E41" s="9" t="str">
        <x:v>1 cup white sugar</x:v>
      </x:c>
      <x:c r="F41" s="9" t="str">
        <x:v>3/4 cup white sugar</x:v>
      </x:c>
    </x:row>
    <x:row r="42" ht="32" customHeight="1">
      <x:c r="A42" s="10" t="str">
        <x:v>M01</x:v>
      </x:c>
      <x:c r="B42" s="10" t="n">
        <x:v>3</x:v>
      </x:c>
      <x:c r="C42" s="10" t="str">
        <x:v>ingredient</x:v>
      </x:c>
      <x:c r="D42" s="10" t="str">
        <x:v>replace</x:v>
      </x:c>
      <x:c r="E42" s="10" t="str">
        <x:v>2 eggs</x:v>
      </x:c>
      <x:c r="F42" s="10" t="str">
        <x:v>3 eggs</x:v>
      </x:c>
    </x:row>
    <x:row r="43" ht="32" customHeight="1">
      <x:c r="A43" s="9" t="str">
        <x:v>M01</x:v>
      </x:c>
      <x:c r="B43" s="9" t="n">
        <x:v>3</x:v>
      </x:c>
      <x:c r="C43" s="9" t="str">
        <x:v>ingredient</x:v>
      </x:c>
      <x:c r="D43" s="9" t="str">
        <x:v>remove</x:v>
      </x:c>
      <x:c r="E43" s="9" t="str">
        <x:v>1 cup chopped walnuts</x:v>
      </x:c>
      <x:c r="F43" s="9" t="str"/>
    </x:row>
    <x:row r="44" ht="32" customHeight="1">
      <x:c r="A44" s="10" t="str">
        <x:v>M01</x:v>
      </x:c>
      <x:c r="B44" s="10" t="n">
        <x:v>3</x:v>
      </x:c>
      <x:c r="C44" s="10" t="str">
        <x:v>ingredient</x:v>
      </x:c>
      <x:c r="D44" s="10" t="str">
        <x:v>add</x:v>
      </x:c>
      <x:c r="E44" s="10" t="str"/>
      <x:c r="F44" s="10" t="str">
        <x:v>1 cup chopped pecans</x:v>
      </x:c>
    </x:row>
    <x:row r="45" ht="32" customHeight="1">
      <x:c r="A45" s="9" t="str">
        <x:v>M01</x:v>
      </x:c>
      <x:c r="B45" s="9" t="n">
        <x:v>3</x:v>
      </x:c>
      <x:c r="C45" s="9" t="str">
        <x:v>instruction</x:v>
      </x:c>
      <x:c r="D45" s="9" t="str">
        <x:v>replace</x:v>
      </x:c>
      <x:c r="E45" s="9" t="str">
        <x:v>Stir in flour, chocolate chips, and walnuts.</x:v>
      </x:c>
      <x:c r="F45" s="9" t="str">
        <x:v>Stir in flour, chocolate chips, and pecans.</x:v>
      </x:c>
    </x:row>
    <x:row r="46" ht="32" customHeight="1">
      <x:c r="A46" s="10" t="str">
        <x:v>M01</x:v>
      </x:c>
      <x:c r="B46" s="10" t="n">
        <x:v>4</x:v>
      </x:c>
      <x:c r="C46" s="10" t="str">
        <x:v>ingredient</x:v>
      </x:c>
      <x:c r="D46" s="10" t="str">
        <x:v>replace</x:v>
      </x:c>
      <x:c r="E46" s="10" t="str">
        <x:v>1 cup white sugar</x:v>
      </x:c>
      <x:c r="F46" s="10" t="str">
        <x:v>3/4 cup white sugar</x:v>
      </x:c>
    </x:row>
    <x:row r="47" ht="32" customHeight="1">
      <x:c r="A47" s="9" t="str">
        <x:v>M01</x:v>
      </x:c>
      <x:c r="B47" s="9" t="n">
        <x:v>4</x:v>
      </x:c>
      <x:c r="C47" s="9" t="str">
        <x:v>ingredient</x:v>
      </x:c>
      <x:c r="D47" s="9" t="str">
        <x:v>replace</x:v>
      </x:c>
      <x:c r="E47" s="9" t="str">
        <x:v>2 eggs</x:v>
      </x:c>
      <x:c r="F47" s="9" t="str">
        <x:v>3 eggs</x:v>
      </x:c>
    </x:row>
    <x:row r="48" ht="32" customHeight="1">
      <x:c r="A48" s="10" t="str">
        <x:v>M01</x:v>
      </x:c>
      <x:c r="B48" s="10" t="n">
        <x:v>4</x:v>
      </x:c>
      <x:c r="C48" s="10" t="str">
        <x:v>ingredient</x:v>
      </x:c>
      <x:c r="D48" s="10" t="str">
        <x:v>replace</x:v>
      </x:c>
      <x:c r="E48" s="10" t="str">
        <x:v>1 cup chopped walnuts</x:v>
      </x:c>
      <x:c r="F48" s="10" t="str">
        <x:v>1 cup chopped pecans</x:v>
      </x:c>
    </x:row>
    <x:row r="49" ht="32" customHeight="1">
      <x:c r="A49" s="9" t="str">
        <x:v>M01</x:v>
      </x:c>
      <x:c r="B49" s="9" t="n">
        <x:v>4</x:v>
      </x:c>
      <x:c r="C49" s="9" t="str">
        <x:v>instruction</x:v>
      </x:c>
      <x:c r="D49" s="9" t="str">
        <x:v>replace</x:v>
      </x:c>
      <x:c r="E49" s="9" t="str">
        <x:v>Stir in flour, chocolate chips, and walnuts.</x:v>
      </x:c>
      <x:c r="F49" s="9" t="str">
        <x:v>Stir in flour, chocolate chips, and pecans.</x:v>
      </x:c>
    </x:row>
    <x:row r="50" ht="32" customHeight="1">
      <x:c r="A50" s="10" t="str">
        <x:v>M01</x:v>
      </x:c>
      <x:c r="B50" s="10" t="n">
        <x:v>5</x:v>
      </x:c>
      <x:c r="C50" s="10" t="str">
        <x:v>ingredient</x:v>
      </x:c>
      <x:c r="D50" s="10" t="str">
        <x:v>replace</x:v>
      </x:c>
      <x:c r="E50" s="10" t="str">
        <x:v>1 cup white sugar</x:v>
      </x:c>
      <x:c r="F50" s="10" t="str">
        <x:v>3/4 cup white sugar</x:v>
      </x:c>
    </x:row>
    <x:row r="51" ht="32" customHeight="1">
      <x:c r="A51" s="9" t="str">
        <x:v>M01</x:v>
      </x:c>
      <x:c r="B51" s="9" t="n">
        <x:v>5</x:v>
      </x:c>
      <x:c r="C51" s="9" t="str">
        <x:v>ingredient</x:v>
      </x:c>
      <x:c r="D51" s="9" t="str">
        <x:v>replace</x:v>
      </x:c>
      <x:c r="E51" s="9" t="str">
        <x:v>2 eggs</x:v>
      </x:c>
      <x:c r="F51" s="9" t="str">
        <x:v>3 eggs</x:v>
      </x:c>
    </x:row>
    <x:row r="52" ht="32" customHeight="1">
      <x:c r="A52" s="10" t="str">
        <x:v>M01</x:v>
      </x:c>
      <x:c r="B52" s="10" t="n">
        <x:v>5</x:v>
      </x:c>
      <x:c r="C52" s="10" t="str">
        <x:v>ingredient</x:v>
      </x:c>
      <x:c r="D52" s="10" t="str">
        <x:v>remove</x:v>
      </x:c>
      <x:c r="E52" s="10" t="str">
        <x:v>1 cup chopped walnuts</x:v>
      </x:c>
      <x:c r="F52" s="10" t="str"/>
    </x:row>
    <x:row r="53" ht="32" customHeight="1">
      <x:c r="A53" s="9" t="str">
        <x:v>M01</x:v>
      </x:c>
      <x:c r="B53" s="9" t="n">
        <x:v>5</x:v>
      </x:c>
      <x:c r="C53" s="9" t="str">
        <x:v>ingredient</x:v>
      </x:c>
      <x:c r="D53" s="9" t="str">
        <x:v>add</x:v>
      </x:c>
      <x:c r="E53" s="9" t="str"/>
      <x:c r="F53" s="9" t="str">
        <x:v>1 cup chopped pecans</x:v>
      </x:c>
    </x:row>
    <x:row r="54" ht="32" customHeight="1">
      <x:c r="A54" s="10" t="str">
        <x:v>M01</x:v>
      </x:c>
      <x:c r="B54" s="10" t="n">
        <x:v>5</x:v>
      </x:c>
      <x:c r="C54" s="10" t="str">
        <x:v>instruction</x:v>
      </x:c>
      <x:c r="D54" s="10" t="str">
        <x:v>replace</x:v>
      </x:c>
      <x:c r="E54" s="10" t="str">
        <x:v>Stir in flour, chocolate chips, and walnuts.</x:v>
      </x:c>
      <x:c r="F54" s="10" t="str">
        <x:v>Stir in flour, chocolate chips, and pecans.</x:v>
      </x:c>
    </x:row>
    <x:row r="55" ht="32" customHeight="1">
      <x:c r="A55" s="9" t="str">
        <x:v>M02</x:v>
      </x:c>
      <x:c r="B55" s="9" t="n">
        <x:v>2</x:v>
      </x:c>
      <x:c r="C55" s="9" t="str">
        <x:v>ingredient</x:v>
      </x:c>
      <x:c r="D55" s="9" t="str">
        <x:v>replace</x:v>
      </x:c>
      <x:c r="E55" s="9" t="str">
        <x:v>3 cups all-purpose flour</x:v>
      </x:c>
      <x:c r="F55" s="9" t="str">
        <x:v>2 1/2 cups all-purpose flour</x:v>
      </x:c>
    </x:row>
    <x:row r="56" ht="32" customHeight="1">
      <x:c r="A56" s="10" t="str">
        <x:v>M02</x:v>
      </x:c>
      <x:c r="B56" s="10" t="n">
        <x:v>2</x:v>
      </x:c>
      <x:c r="C56" s="10" t="str">
        <x:v>ingredient</x:v>
      </x:c>
      <x:c r="D56" s="10" t="str">
        <x:v>remove</x:v>
      </x:c>
      <x:c r="E56" s="10" t="str">
        <x:v>1 cup chopped walnuts</x:v>
      </x:c>
      <x:c r="F56" s="10" t="str"/>
    </x:row>
    <x:row r="57" ht="32" customHeight="1">
      <x:c r="A57" s="9" t="str">
        <x:v>M02</x:v>
      </x:c>
      <x:c r="B57" s="9" t="n">
        <x:v>2</x:v>
      </x:c>
      <x:c r="C57" s="9" t="str">
        <x:v>ingredient</x:v>
      </x:c>
      <x:c r="D57" s="9" t="str">
        <x:v>add</x:v>
      </x:c>
      <x:c r="E57" s="9" t="str"/>
      <x:c r="F57" s="9" t="str">
        <x:v>1 teaspoon ground cinnamon</x:v>
      </x:c>
    </x:row>
    <x:row r="58" ht="39" customHeight="1">
      <x:c r="A58" s="10" t="str">
        <x:v>M02</x:v>
      </x:c>
      <x:c r="B58" s="10" t="n">
        <x:v>2</x:v>
      </x:c>
      <x:c r="C58" s="10" t="str">
        <x:v>instruction</x:v>
      </x:c>
      <x:c r="D58" s="10" t="str">
        <x:v>replace</x:v>
      </x:c>
      <x:c r="E58" s="10" t="str">
        <x:v>Stir in flour, chocolate chips, and walnuts.</x:v>
      </x:c>
      <x:c r="F58" s="10" t="str">
        <x:v>Stir in flour and chocolate chips.
Mix in 1 teaspoon ground cinnamon into the batter.</x:v>
      </x:c>
    </x:row>
    <x:row r="59" ht="54" customHeight="1">
      <x:c r="A59" s="9" t="str">
        <x:v>M02</x:v>
      </x:c>
      <x:c r="B59" s="9" t="n">
        <x:v>2</x:v>
      </x:c>
      <x:c r="C59" s="9" t="str">
        <x:v>instruction</x:v>
      </x:c>
      <x:c r="D59" s="9" t="str">
        <x:v>replace</x:v>
      </x:c>
      <x:c r="E59" s="9" t="str">
        <x:v>Drop spoonfuls of dough 2 inches apart onto ungreased baking sheets.</x:v>
      </x:c>
      <x:c r="F59" s="9" t="str">
        <x:v>Refrigerate the dough for 45 minutes before dropping spoonfuls onto the baking sheets.
Drop spoonfuls of dough 2 inches apart onto ungreased baking sheets.</x:v>
      </x:c>
    </x:row>
    <x:row r="60" ht="32" customHeight="1">
      <x:c r="A60" s="10" t="str">
        <x:v>M02</x:v>
      </x:c>
      <x:c r="B60" s="10" t="n">
        <x:v>3</x:v>
      </x:c>
      <x:c r="C60" s="10" t="str">
        <x:v>ingredient</x:v>
      </x:c>
      <x:c r="D60" s="10" t="str">
        <x:v>replace</x:v>
      </x:c>
      <x:c r="E60" s="10" t="str">
        <x:v>3 cups all-purpose flour</x:v>
      </x:c>
      <x:c r="F60" s="10" t="str">
        <x:v>2 1/2 cups all-purpose flour</x:v>
      </x:c>
    </x:row>
    <x:row r="61" ht="32" customHeight="1">
      <x:c r="A61" s="9" t="str">
        <x:v>M02</x:v>
      </x:c>
      <x:c r="B61" s="9" t="n">
        <x:v>3</x:v>
      </x:c>
      <x:c r="C61" s="9" t="str">
        <x:v>ingredient</x:v>
      </x:c>
      <x:c r="D61" s="9" t="str">
        <x:v>remove</x:v>
      </x:c>
      <x:c r="E61" s="9" t="str">
        <x:v>1 cup chopped walnuts</x:v>
      </x:c>
      <x:c r="F61" s="9" t="str"/>
    </x:row>
    <x:row r="62" ht="32" customHeight="1">
      <x:c r="A62" s="10" t="str">
        <x:v>M02</x:v>
      </x:c>
      <x:c r="B62" s="10" t="n">
        <x:v>3</x:v>
      </x:c>
      <x:c r="C62" s="10" t="str">
        <x:v>ingredient</x:v>
      </x:c>
      <x:c r="D62" s="10" t="str">
        <x:v>add</x:v>
      </x:c>
      <x:c r="E62" s="10" t="str"/>
      <x:c r="F62" s="10" t="str">
        <x:v>1 teaspoon cinnamon</x:v>
      </x:c>
    </x:row>
    <x:row r="63" ht="39" customHeight="1">
      <x:c r="A63" s="9" t="str">
        <x:v>M02</x:v>
      </x:c>
      <x:c r="B63" s="9" t="n">
        <x:v>3</x:v>
      </x:c>
      <x:c r="C63" s="9" t="str">
        <x:v>instruction</x:v>
      </x:c>
      <x:c r="D63" s="9" t="str">
        <x:v>replace</x:v>
      </x:c>
      <x:c r="E63" s="9" t="str">
        <x:v>Stir in flour, chocolate chips, and walnuts.</x:v>
      </x:c>
      <x:c r="F63" s="9" t="str">
        <x:v>Stir in flour and chocolate chips.
Mix in 1 teaspoon cinnamon into the batter.</x:v>
      </x:c>
    </x:row>
    <x:row r="64" ht="54" customHeight="1">
      <x:c r="A64" s="10" t="str">
        <x:v>M02</x:v>
      </x:c>
      <x:c r="B64" s="10" t="n">
        <x:v>3</x:v>
      </x:c>
      <x:c r="C64" s="10" t="str">
        <x:v>instruction</x:v>
      </x:c>
      <x:c r="D64" s="10" t="str">
        <x:v>replace</x:v>
      </x:c>
      <x:c r="E64" s="10" t="str">
        <x:v>Drop spoonfuls of dough 2 inches apart onto ungreased baking sheets.</x:v>
      </x:c>
      <x:c r="F64" s="10" t="str">
        <x:v>Refrigerate the dough for 45 minutes before dropping spoonfuls onto the baking sheets.
Drop spoonfuls of dough 2 inches apart onto ungreased baking sheets.</x:v>
      </x:c>
    </x:row>
    <x:row r="65" ht="32" customHeight="1">
      <x:c r="A65" s="9" t="str">
        <x:v>M03</x:v>
      </x:c>
      <x:c r="B65" s="9" t="n">
        <x:v>2</x:v>
      </x:c>
      <x:c r="C65" s="9" t="str">
        <x:v>ingredient</x:v>
      </x:c>
      <x:c r="D65" s="9" t="str">
        <x:v>replace</x:v>
      </x:c>
      <x:c r="E65" s="9" t="str">
        <x:v>1.5 cups mango nectar</x:v>
      </x:c>
      <x:c r="F65" s="9" t="str">
        <x:v>1 cups mango nectar</x:v>
      </x:c>
    </x:row>
    <x:row r="66" ht="32" customHeight="1">
      <x:c r="A66" s="10" t="str">
        <x:v>M03</x:v>
      </x:c>
      <x:c r="B66" s="10" t="n">
        <x:v>2</x:v>
      </x:c>
      <x:c r="C66" s="10" t="str">
        <x:v>ingredient</x:v>
      </x:c>
      <x:c r="D66" s="10" t="str">
        <x:v>replace</x:v>
      </x:c>
      <x:c r="E66" s="10" t="str">
        <x:v>0.75 cup dried cherries</x:v>
      </x:c>
      <x:c r="F66" s="10" t="str">
        <x:v>0.5 cup dried cranberries</x:v>
      </x:c>
    </x:row>
    <x:row r="67" ht="54" customHeight="1">
      <x:c r="A67" s="9" t="str">
        <x:v>M03</x:v>
      </x:c>
      <x:c r="B67" s="9" t="n">
        <x:v>2</x:v>
      </x:c>
      <x:c r="C67" s="9" t="str">
        <x:v>instruction</x:v>
      </x:c>
      <x:c r="D67" s="9" t="str">
        <x:v>replace</x:v>
      </x:c>
      <x:c r="E67" s="9" t="str">
        <x:v>In a blender, thoroughly mix mango nectar, teriyaki sauce, dried cherries, garlic, salt and pepper. In the refrigerator, marinate meat in the mixture at least 2 hours before grilling as desired.</x:v>
      </x:c>
      <x:c r="F67" s="9" t="str">
        <x:v>In a blender, thoroughly mix mango nectar, teriyaki sauce, dried cranberries, garlic, salt and pepper. In the refrigerator, marinate meat in the mixture at least 2 hours before grilling as desired.</x:v>
      </x:c>
    </x:row>
    <x:row r="68" ht="54" customHeight="1">
      <x:c r="A68" s="10" t="str">
        <x:v>M03</x:v>
      </x:c>
      <x:c r="B68" s="10" t="n">
        <x:v>2</x:v>
      </x:c>
      <x:c r="C68" s="10" t="str">
        <x:v>instruction</x:v>
      </x:c>
      <x:c r="D68" s="10" t="str">
        <x:v>replace</x:v>
      </x:c>
      <x:c r="E68" s="10" t="str">
        <x:v>In a blender, thoroughly mix mango nectar, teriyaki sauce, dried cranberries, garlic, salt and pepper. In the refrigerator, marinate meat in the mixture at least 2 hours before grilling as desired.</x:v>
      </x:c>
      <x:c r="F68" s="10" t="str">
        <x:v>In a blender, thoroughly mix mango nectar, teriyaki sauce, dried cranberries, garlic, salt and pepper. In the refrigerator, marinate meat in the mixture in the refrigerator for at least 4 hours before grilling as desired.</x:v>
      </x:c>
    </x:row>
    <x:row r="69" ht="32" customHeight="1">
      <x:c r="A69" s="9" t="str">
        <x:v>M03</x:v>
      </x:c>
      <x:c r="B69" s="9" t="n">
        <x:v>3</x:v>
      </x:c>
      <x:c r="C69" s="9" t="str">
        <x:v>ingredient</x:v>
      </x:c>
      <x:c r="D69" s="9" t="str">
        <x:v>replace</x:v>
      </x:c>
      <x:c r="E69" s="9" t="str">
        <x:v>1.5 cups mango nectar</x:v>
      </x:c>
      <x:c r="F69" s="9" t="str">
        <x:v>1 cups mango nectar</x:v>
      </x:c>
    </x:row>
    <x:row r="70" ht="32" customHeight="1">
      <x:c r="A70" s="10" t="str">
        <x:v>M03</x:v>
      </x:c>
      <x:c r="B70" s="10" t="n">
        <x:v>3</x:v>
      </x:c>
      <x:c r="C70" s="10" t="str">
        <x:v>ingredient</x:v>
      </x:c>
      <x:c r="D70" s="10" t="str">
        <x:v>replace</x:v>
      </x:c>
      <x:c r="E70" s="10" t="str">
        <x:v>0.75 cup dried cherries</x:v>
      </x:c>
      <x:c r="F70" s="10" t="str">
        <x:v>0.5 cup dried cranberries</x:v>
      </x:c>
    </x:row>
    <x:row r="71" ht="54" customHeight="1">
      <x:c r="A71" s="9" t="str">
        <x:v>M03</x:v>
      </x:c>
      <x:c r="B71" s="9" t="n">
        <x:v>3</x:v>
      </x:c>
      <x:c r="C71" s="9" t="str">
        <x:v>instruction</x:v>
      </x:c>
      <x:c r="D71" s="9" t="str">
        <x:v>replace</x:v>
      </x:c>
      <x:c r="E71" s="9" t="str">
        <x:v>In a blender, thoroughly mix mango nectar, teriyaki sauce, dried cherries, garlic, salt and pepper. In the refrigerator, marinate meat in the mixture at least 2 hours before grilling as desired.</x:v>
      </x:c>
      <x:c r="F71" s="9" t="str">
        <x:v>In a blender, thoroughly mix mango nectar, teriyaki sauce, dried cranberries, garlic, salt and pepper. In the refrigerator, marinate meat in the mixture at least 2 hours before grilling as desired.</x:v>
      </x:c>
    </x:row>
    <x:row r="72" ht="54" customHeight="1">
      <x:c r="A72" s="10" t="str">
        <x:v>M03</x:v>
      </x:c>
      <x:c r="B72" s="10" t="n">
        <x:v>3</x:v>
      </x:c>
      <x:c r="C72" s="10" t="str">
        <x:v>instruction</x:v>
      </x:c>
      <x:c r="D72" s="10" t="str">
        <x:v>replace</x:v>
      </x:c>
      <x:c r="E72" s="10" t="str">
        <x:v>In a blender, thoroughly mix mango nectar, teriyaki sauce, dried cranberries, garlic, salt and pepper. In the refrigerator, marinate meat in the mixture at least 2 hours before grilling as desired.</x:v>
      </x:c>
      <x:c r="F72" s="10" t="str">
        <x:v>In a blender, thoroughly mix mango nectar, teriyaki sauce, dried cranberries, garlic, salt and pepper. In the refrigerator, marinate meat in the mixture in the refrigerator for at least 4 hours before grilling as desired.</x:v>
      </x:c>
    </x:row>
    <x:row r="73" ht="32" customHeight="1">
      <x:c r="A73" s="9" t="str">
        <x:v>M04</x:v>
      </x:c>
      <x:c r="B73" s="9" t="n">
        <x:v>2</x:v>
      </x:c>
      <x:c r="C73" s="9" t="str">
        <x:v>ingredient</x:v>
      </x:c>
      <x:c r="D73" s="9" t="str">
        <x:v>replace</x:v>
      </x:c>
      <x:c r="E73" s="9" t="str">
        <x:v>1.5 teaspoons ground ginger</x:v>
      </x:c>
      <x:c r="F73" s="9" t="str">
        <x:v>1 teaspoons ground ginger</x:v>
      </x:c>
    </x:row>
    <x:row r="74" ht="32" customHeight="1">
      <x:c r="A74" s="10" t="str">
        <x:v>M04</x:v>
      </x:c>
      <x:c r="B74" s="10" t="n">
        <x:v>2</x:v>
      </x:c>
      <x:c r="C74" s="10" t="str">
        <x:v>ingredient</x:v>
      </x:c>
      <x:c r="D74" s="10" t="str">
        <x:v>replace</x:v>
      </x:c>
      <x:c r="E74" s="10" t="str">
        <x:v>3 cups chicken broth, homemade or from a carton or can</x:v>
      </x:c>
      <x:c r="F74" s="10" t="str">
        <x:v>3 cups vegetable broth</x:v>
      </x:c>
    </x:row>
    <x:row r="75" ht="32" customHeight="1">
      <x:c r="A75" s="9" t="str">
        <x:v>M04</x:v>
      </x:c>
      <x:c r="B75" s="9" t="n">
        <x:v>2</x:v>
      </x:c>
      <x:c r="C75" s="9" t="str">
        <x:v>ingredient</x:v>
      </x:c>
      <x:c r="D75" s="9" t="str">
        <x:v>remove</x:v>
      </x:c>
      <x:c r="E75" s="9" t="str">
        <x:v>Garnish: chopped honey-roasted peanuts</x:v>
      </x:c>
      <x:c r="F75" s="9" t="str"/>
    </x:row>
    <x:row r="76" ht="39" customHeight="1">
      <x:c r="A76" s="10" t="str">
        <x:v>M04</x:v>
      </x:c>
      <x:c r="B76" s="10" t="n">
        <x:v>2</x:v>
      </x:c>
      <x:c r="C76" s="10" t="str">
        <x:v>instruction</x:v>
      </x:c>
      <x:c r="D76" s="10" t="str">
        <x:v>replace</x:v>
      </x:c>
      <x:c r="E76" s="10" t="str">
        <x:v>Add broth; bring to a simmer over medium-high heat. Reduce heat to low and simmer, partially covered, until sweet potatoes are tender, about 10 minutes.</x:v>
      </x:c>
      <x:c r="F76" s="10" t="str">
        <x:v>Add vegetable broth; bring to a simmer over medium-high heat. Reduce heat to low and simmer, partially covered, until sweet potatoes are tender, about 10 minutes.</x:v>
      </x:c>
    </x:row>
    <x:row r="77" ht="54" customHeight="1">
      <x:c r="A77" s="9" t="str">
        <x:v>M04</x:v>
      </x:c>
      <x:c r="B77" s="9" t="n">
        <x:v>2</x:v>
      </x:c>
      <x:c r="C77" s="9" t="str">
        <x:v>instruction</x:v>
      </x:c>
      <x:c r="D77" s="9" t="str">
        <x:v>replace</x:v>
      </x:c>
      <x:c r="E77" s="9" t="str">
        <x:v>Return to pan (or a soup pot); add enough half-and-half so the mixture is souplike, yet thick enough to float garnish. Taste, and add salt and pepper if needed. Heat through, ladle into bowls, garnish and serve.</x:v>
      </x:c>
      <x:c r="F77" s="9" t="str">
        <x:v>Return to pan (or a soup pot); add enough half-and-half so the mixture is souplike, yet thick enough to float garnish. Taste, and add salt and pepper if needed. Heat through, ladle into bowls, and serve.</x:v>
      </x:c>
    </x:row>
    <x:row r="78" ht="39" customHeight="1">
      <x:c r="A78" s="10" t="str">
        <x:v>M04</x:v>
      </x:c>
      <x:c r="B78" s="10" t="n">
        <x:v>2</x:v>
      </x:c>
      <x:c r="C78" s="10" t="str">
        <x:v>description</x:v>
      </x:c>
      <x:c r="D78" s="10" t="str">
        <x:v>retained</x:v>
      </x:c>
      <x:c r="E78" s="10" t="str">
        <x:v>Made with sweet potatoes and seasoned with ginger, nutmeg, and cayenne pepper, this creamy soup is topped with honey-roasted peanuts.</x:v>
      </x:c>
      <x:c r="F78" s="10" t="str">
        <x:v>Made with sweet potatoes and seasoned with ginger, nutmeg, and cayenne pepper, this creamy soup is topped with honey-roasted peanuts.</x:v>
      </x:c>
    </x:row>
    <x:row r="79" ht="32" customHeight="1">
      <x:c r="A79" s="9" t="str">
        <x:v>M04</x:v>
      </x:c>
      <x:c r="B79" s="9" t="n">
        <x:v>3</x:v>
      </x:c>
      <x:c r="C79" s="9" t="str">
        <x:v>ingredient</x:v>
      </x:c>
      <x:c r="D79" s="9" t="str">
        <x:v>replace</x:v>
      </x:c>
      <x:c r="E79" s="9" t="str">
        <x:v>1.5 teaspoons ground ginger</x:v>
      </x:c>
      <x:c r="F79" s="9" t="str">
        <x:v>1 teaspoons ground ginger</x:v>
      </x:c>
    </x:row>
    <x:row r="80" ht="32" customHeight="1">
      <x:c r="A80" s="10" t="str">
        <x:v>M04</x:v>
      </x:c>
      <x:c r="B80" s="10" t="n">
        <x:v>3</x:v>
      </x:c>
      <x:c r="C80" s="10" t="str">
        <x:v>ingredient</x:v>
      </x:c>
      <x:c r="D80" s="10" t="str">
        <x:v>replace</x:v>
      </x:c>
      <x:c r="E80" s="10" t="str">
        <x:v>3 cups chicken broth, homemade or from a carton or can</x:v>
      </x:c>
      <x:c r="F80" s="10" t="str">
        <x:v>3 cups vegetable broth</x:v>
      </x:c>
    </x:row>
    <x:row r="81" ht="32" customHeight="1">
      <x:c r="A81" s="9" t="str">
        <x:v>M04</x:v>
      </x:c>
      <x:c r="B81" s="9" t="n">
        <x:v>3</x:v>
      </x:c>
      <x:c r="C81" s="9" t="str">
        <x:v>ingredient</x:v>
      </x:c>
      <x:c r="D81" s="9" t="str">
        <x:v>remove</x:v>
      </x:c>
      <x:c r="E81" s="9" t="str">
        <x:v>Garnish: chopped honey-roasted peanuts</x:v>
      </x:c>
      <x:c r="F81" s="9" t="str"/>
    </x:row>
    <x:row r="82" ht="39" customHeight="1">
      <x:c r="A82" s="10" t="str">
        <x:v>M04</x:v>
      </x:c>
      <x:c r="B82" s="10" t="n">
        <x:v>3</x:v>
      </x:c>
      <x:c r="C82" s="10" t="str">
        <x:v>instruction</x:v>
      </x:c>
      <x:c r="D82" s="10" t="str">
        <x:v>replace</x:v>
      </x:c>
      <x:c r="E82" s="10" t="str">
        <x:v>Add broth; bring to a simmer over medium-high heat. Reduce heat to low and simmer, partially covered, until sweet potatoes are tender, about 10 minutes.</x:v>
      </x:c>
      <x:c r="F82" s="10" t="str">
        <x:v>Add vegetable broth; bring to a simmer over medium-high heat. Reduce heat to low and simmer, partially covered, until sweet potatoes are tender, about 10 minutes.</x:v>
      </x:c>
    </x:row>
    <x:row r="83" ht="54" customHeight="1">
      <x:c r="A83" s="9" t="str">
        <x:v>M04</x:v>
      </x:c>
      <x:c r="B83" s="9" t="n">
        <x:v>3</x:v>
      </x:c>
      <x:c r="C83" s="9" t="str">
        <x:v>instruction</x:v>
      </x:c>
      <x:c r="D83" s="9" t="str">
        <x:v>replace</x:v>
      </x:c>
      <x:c r="E83" s="9" t="str">
        <x:v>Return to pan (or a soup pot); add enough half-and-half so the mixture is souplike, yet thick enough to float garnish. Taste, and add salt and pepper if needed. Heat through, ladle into bowls, garnish and serve.</x:v>
      </x:c>
      <x:c r="F83" s="9" t="str">
        <x:v>Return to pan (or a soup pot); add enough half-and-half so the mixture is souplike, yet thick enough to float garnish. Taste, and add salt and pepper if needed. Heat through, ladle into bowls, and serve.</x:v>
      </x:c>
    </x:row>
    <x:row r="84" ht="39" customHeight="1">
      <x:c r="A84" s="10" t="str">
        <x:v>M04</x:v>
      </x:c>
      <x:c r="B84" s="10" t="n">
        <x:v>3</x:v>
      </x:c>
      <x:c r="C84" s="10" t="str">
        <x:v>description</x:v>
      </x:c>
      <x:c r="D84" s="10" t="str">
        <x:v>retained</x:v>
      </x:c>
      <x:c r="E84" s="10" t="str">
        <x:v>Made with sweet potatoes and seasoned with ginger, nutmeg, and cayenne pepper, this creamy soup is topped with honey-roasted peanuts.</x:v>
      </x:c>
      <x:c r="F84" s="10" t="str">
        <x:v>Made with sweet potatoes and seasoned with ginger, nutmeg, and cayenne pepper, this creamy soup is topped with honey-roasted peanuts.</x:v>
      </x:c>
    </x:row>
    <x:row r="85" ht="32" customHeight="1">
      <x:c r="A85" s="9" t="str">
        <x:v>M04</x:v>
      </x:c>
      <x:c r="B85" s="9" t="n">
        <x:v>4</x:v>
      </x:c>
      <x:c r="C85" s="9" t="str">
        <x:v>ingredient</x:v>
      </x:c>
      <x:c r="D85" s="9" t="str">
        <x:v>replace</x:v>
      </x:c>
      <x:c r="E85" s="9" t="str">
        <x:v>1.5 teaspoons ground ginger</x:v>
      </x:c>
      <x:c r="F85" s="9" t="str">
        <x:v>1 teaspoons ground ginger</x:v>
      </x:c>
    </x:row>
    <x:row r="86" ht="32" customHeight="1">
      <x:c r="A86" s="10" t="str">
        <x:v>M04</x:v>
      </x:c>
      <x:c r="B86" s="10" t="n">
        <x:v>4</x:v>
      </x:c>
      <x:c r="C86" s="10" t="str">
        <x:v>ingredient</x:v>
      </x:c>
      <x:c r="D86" s="10" t="str">
        <x:v>replace</x:v>
      </x:c>
      <x:c r="E86" s="10" t="str">
        <x:v>3 cups chicken broth, homemade or from a carton or can</x:v>
      </x:c>
      <x:c r="F86" s="10" t="str">
        <x:v>3 cups vegetable broth</x:v>
      </x:c>
    </x:row>
    <x:row r="87" ht="32" customHeight="1">
      <x:c r="A87" s="9" t="str">
        <x:v>M04</x:v>
      </x:c>
      <x:c r="B87" s="9" t="n">
        <x:v>4</x:v>
      </x:c>
      <x:c r="C87" s="9" t="str">
        <x:v>ingredient</x:v>
      </x:c>
      <x:c r="D87" s="9" t="str">
        <x:v>remove</x:v>
      </x:c>
      <x:c r="E87" s="9" t="str">
        <x:v>Garnish: chopped honey-roasted peanuts</x:v>
      </x:c>
      <x:c r="F87" s="9" t="str"/>
    </x:row>
    <x:row r="88" ht="39" customHeight="1">
      <x:c r="A88" s="10" t="str">
        <x:v>M04</x:v>
      </x:c>
      <x:c r="B88" s="10" t="n">
        <x:v>4</x:v>
      </x:c>
      <x:c r="C88" s="10" t="str">
        <x:v>instruction</x:v>
      </x:c>
      <x:c r="D88" s="10" t="str">
        <x:v>replace</x:v>
      </x:c>
      <x:c r="E88" s="10" t="str">
        <x:v>Add broth; bring to a simmer over medium-high heat. Reduce heat to low and simmer, partially covered, until sweet potatoes are tender, about 10 minutes.</x:v>
      </x:c>
      <x:c r="F88" s="10" t="str">
        <x:v>Add vegetable broth; bring to a simmer over medium-high heat. Reduce heat to low and simmer, partially covered, until sweet potatoes are tender, about 10 minutes.</x:v>
      </x:c>
    </x:row>
    <x:row r="89" ht="54" customHeight="1">
      <x:c r="A89" s="9" t="str">
        <x:v>M04</x:v>
      </x:c>
      <x:c r="B89" s="9" t="n">
        <x:v>4</x:v>
      </x:c>
      <x:c r="C89" s="9" t="str">
        <x:v>instruction</x:v>
      </x:c>
      <x:c r="D89" s="9" t="str">
        <x:v>replace</x:v>
      </x:c>
      <x:c r="E89" s="9" t="str">
        <x:v>Return to pan (or a soup pot); add enough half-and-half so the mixture is souplike, yet thick enough to float garnish. Taste, and add salt and pepper if needed. Heat through, ladle into bowls, garnish and serve.</x:v>
      </x:c>
      <x:c r="F89" s="9" t="str">
        <x:v>Return to pan (or a soup pot); add enough half-and-half so the mixture is souplike, yet thick enough to float garnish. Taste, and add salt and pepper if needed. Heat through, ladle into bowls, and serve.</x:v>
      </x:c>
    </x:row>
    <x:row r="90" ht="39" customHeight="1">
      <x:c r="A90" s="10" t="str">
        <x:v>M04</x:v>
      </x:c>
      <x:c r="B90" s="10" t="n">
        <x:v>4</x:v>
      </x:c>
      <x:c r="C90" s="10" t="str">
        <x:v>description</x:v>
      </x:c>
      <x:c r="D90" s="10" t="str">
        <x:v>retained</x:v>
      </x:c>
      <x:c r="E90" s="10" t="str">
        <x:v>Made with sweet potatoes and seasoned with ginger, nutmeg, and cayenne pepper, this creamy soup is topped with honey-roasted peanuts.</x:v>
      </x:c>
      <x:c r="F90" s="10" t="str">
        <x:v>Made with sweet potatoes and seasoned with ginger, nutmeg, and cayenne pepper, this creamy soup is topped with honey-roasted peanuts.</x:v>
      </x:c>
    </x:row>
    <x:row r="91" ht="39" customHeight="1">
      <x:c r="A91" s="9" t="str">
        <x:v>T03</x:v>
      </x:c>
      <x:c r="B91" s="9" t="n">
        <x:v>1</x:v>
      </x:c>
      <x:c r="C91" s="9" t="str">
        <x:v>instruction</x:v>
      </x:c>
      <x:c r="D91" s="9" t="str">
        <x:v>replace</x:v>
      </x:c>
      <x:c r="E91" s="9" t="str">
        <x:v>Drop spoonfuls of dough 2 inches apart onto ungreased baking sheets.</x:v>
      </x:c>
      <x:c r="F91" s="9" t="str">
        <x:v>Chill the finished dough for 20 minutes.
Drop spoonfuls of dough 2 inches apart onto ungreased baking sheets.</x:v>
      </x:c>
    </x:row>
    <x:row r="92" ht="39" customHeight="1">
      <x:c r="A92" s="10" t="str">
        <x:v>T03</x:v>
      </x:c>
      <x:c r="B92" s="10" t="n">
        <x:v>2</x:v>
      </x:c>
      <x:c r="C92" s="10" t="str">
        <x:v>instruction</x:v>
      </x:c>
      <x:c r="D92" s="10" t="str">
        <x:v>replace</x:v>
      </x:c>
      <x:c r="E92" s="10" t="str">
        <x:v>Drop spoonfuls of dough 2 inches apart onto ungreased baking sheets.</x:v>
      </x:c>
      <x:c r="F92" s="10" t="str">
        <x:v>Chill the finished dough for 20 minutes.
Drop spoonfuls of dough 2 inches apart onto ungreased baking sheets.</x:v>
      </x:c>
    </x:row>
    <x:row r="93" ht="39" customHeight="1">
      <x:c r="A93" s="9" t="str">
        <x:v>T03</x:v>
      </x:c>
      <x:c r="B93" s="9" t="n">
        <x:v>3</x:v>
      </x:c>
      <x:c r="C93" s="9" t="str">
        <x:v>instruction</x:v>
      </x:c>
      <x:c r="D93" s="9" t="str">
        <x:v>replace</x:v>
      </x:c>
      <x:c r="E93" s="9" t="str">
        <x:v>Drop spoonfuls of dough 2 inches apart onto ungreased baking sheets.</x:v>
      </x:c>
      <x:c r="F93" s="9" t="str">
        <x:v>Chill the finished dough for 20 minutes.
Drop spoonfuls of dough 2 inches apart onto ungreased baking sheets.</x:v>
      </x:c>
    </x:row>
    <x:row r="94" ht="32" customHeight="1">
      <x:c r="A94" s="10" t="str">
        <x:v>A02</x:v>
      </x:c>
      <x:c r="B94" s="10" t="n">
        <x:v>1</x:v>
      </x:c>
      <x:c r="C94" s="10" t="str">
        <x:v>ingredient</x:v>
      </x:c>
      <x:c r="D94" s="10" t="str">
        <x:v>add</x:v>
      </x:c>
      <x:c r="E94" s="10" t="str"/>
      <x:c r="F94" s="10" t="str">
        <x:v>1 tablespoon chopped fresh parsley</x:v>
      </x:c>
    </x:row>
    <x:row r="95" ht="69" customHeight="1">
      <x:c r="A95" s="9" t="str">
        <x:v>A02</x:v>
      </x:c>
      <x:c r="B95" s="9" t="n">
        <x:v>1</x:v>
      </x:c>
      <x:c r="C95" s="9" t="str">
        <x:v>instruction</x:v>
      </x:c>
      <x:c r="D95" s="9" t="str">
        <x:v>replace</x:v>
      </x:c>
      <x:c r="E95" s="9" t="str">
        <x:v>Return to pan (or a soup pot); add enough half-and-half so the mixture is souplike, yet thick enough to float garnish. Taste, and add salt and pepper if needed. Heat through, ladle into bowls, garnish and serve.</x:v>
      </x:c>
      <x:c r="F95" s="9" t="str">
        <x:v>Return to pan (or a soup pot); add enough half-and-half so the mixture is souplike, yet thick enough to float garnish. Taste, and add salt and pepper if needed. Heat through, ladle into bowls, garnish with chopped honey-roasted peanuts and chopped fresh parsley, and serve.</x:v>
      </x:c>
    </x:row>
    <x:row r="96" ht="32" customHeight="1">
      <x:c r="A96" s="10" t="str">
        <x:v>R01</x:v>
      </x:c>
      <x:c r="B96" s="10" t="n">
        <x:v>1</x:v>
      </x:c>
      <x:c r="C96" s="10" t="str">
        <x:v>ingredient</x:v>
      </x:c>
      <x:c r="D96" s="10" t="str">
        <x:v>remove</x:v>
      </x:c>
      <x:c r="E96" s="10" t="str">
        <x:v>1 clove garlic, peeled and crushed</x:v>
      </x:c>
      <x:c r="F96" s="10" t="str"/>
    </x:row>
    <x:row r="97" ht="54" customHeight="1">
      <x:c r="A97" s="9" t="str">
        <x:v>R01</x:v>
      </x:c>
      <x:c r="B97" s="9" t="n">
        <x:v>1</x:v>
      </x:c>
      <x:c r="C97" s="9" t="str">
        <x:v>instruction</x:v>
      </x:c>
      <x:c r="D97" s="9" t="str">
        <x:v>replace</x:v>
      </x:c>
      <x:c r="E97" s="9" t="str">
        <x:v>In a blender, thoroughly mix mango nectar, teriyaki sauce, dried cherries, garlic, salt and pepper. In the refrigerator, marinate meat in the mixture at least 2 hours before grilling as desired.</x:v>
      </x:c>
      <x:c r="F97" s="9" t="str">
        <x:v>In a blender, thoroughly mix mango nectar, teriyaki sauce, dried cherries, salt and pepper. In the refrigerator, marinate meat in the mixture at least 2 hours before grilling as desired.</x:v>
      </x:c>
    </x:row>
  </x:sheetData>
  <x:pageMargins left="0.7" right="0.7" top="0.75" bottom="0.75" header="0.3" footer="0.3"/>
  <x:tableParts count="1">
    <x:tablePart xmlns:r="http://schemas.openxmlformats.org/officeDocument/2006/relationships" r:id="R5e575efcdd374a3c"/>
  </x:tableParts>
</x:worksheet>
</file>

<file path=xl/worksheets/sheet6.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37" hidden="0" customWidth="1"/>
    <x:col min="2" max="2" width="130" hidden="0" customWidth="1"/>
  </x:cols>
  <x:sheetData>
    <x:row r="1" ht="28" customHeight="1">
      <x:c r="A1" s="2" t="str">
        <x:v>Method and evidence</x:v>
      </x:c>
      <x:c r="B1" s="1"/>
    </x:row>
    <x:row r="2">
      <x:c r="A2" s="3" t="str">
        <x:v>Sources, scoring definitions, limitations and controlled failure tests.</x:v>
      </x:c>
      <x:c r="B2" s="1"/>
    </x:row>
    <x:row r="3">
      <x:c r="A3" s="4"/>
      <x:c r="B3" s="4"/>
    </x:row>
    <x:row r="4" ht="34" customHeight="1">
      <x:c r="A4" s="7" t="str">
        <x:v>Item</x:v>
      </x:c>
      <x:c r="B4" s="7" t="str">
        <x:v>Detail</x:v>
      </x:c>
    </x:row>
    <x:row r="5" ht="32" customHeight="1">
      <x:c r="A5" s="9" t="str">
        <x:v>Scope</x:v>
      </x:c>
      <x:c r="B5" s="9" t="str">
        <x:v>36 distinct English reviews against five existing recipes; 24 expected enhancements and 12 expected abstentions.</x:v>
      </x:c>
    </x:row>
    <x:row r="6" ht="32" customHeight="1">
      <x:c r="A6" s="10" t="str">
        <x:v>Execution</x:v>
      </x:c>
      <x:c r="B6" s="10" t="str">
        <x:v>Local HTTP API, two concurrent workers, no automatic test-run retries. Five predefined complex cases ran five times total each.</x:v>
      </x:c>
    </x:row>
    <x:row r="7" ht="32" customHeight="1">
      <x:c r="A7" s="9" t="str">
        <x:v>Timing</x:v>
      </x:c>
      <x:c r="B7" s="9" t="str">
        <x:v>2026-09-24T09:37:49.172445+00:00 to 2026-09-24T09:40:30.734707+00:00 (UTC). Local timezone Asia/Taipei is UTC+08:00.</x:v>
      </x:c>
    </x:row>
    <x:row r="8" ht="39" customHeight="1">
      <x:c r="A8" s="10" t="str">
        <x:v>Models</x:v>
      </x:c>
      <x:c r="B8" s="10" t="str">
        <x:v>Interpretation and edit generation: gpt-4o-mini. Semantic repair and fidelity: gpt-4.1. Configured consistency default: gpt-4.1.</x:v>
      </x:c>
    </x:row>
    <x:row r="9" ht="39" customHeight="1">
      <x:c r="A9" s="9" t="str">
        <x:v>Expectations</x:v>
      </x:c>
      <x:c r="B9" s="9" t="str">
        <x:v>Frozen before any paid call. Cases and production source hashes were verified unchanged after the run. No application fixes were made.</x:v>
      </x:c>
    </x:row>
    <x:row r="10" ht="39" customHeight="1">
      <x:c r="A10" s="10" t="str">
        <x:v>Grading</x:v>
      </x:c>
      <x:c r="B10" s="10" t="str">
        <x:v>Codex inspected requested changes, published change records, ingredient quantities, preparation actions and order, and relevant final descriptions. No additional LLM grader calls.</x:v>
      </x:c>
    </x:row>
    <x:row r="11" ht="39" customHeight="1">
      <x:c r="A11" s="9" t="str">
        <x:v>Correct</x:v>
      </x:c>
      <x:c r="B11" s="9" t="str">
        <x:v>The expected edit or abstention occurred, and no material contradiction was found in the published output. Decimal/fraction equivalents and harmless grammar differences are accepted.</x:v>
      </x:c>
    </x:row>
    <x:row r="12" ht="39" customHeight="1">
      <x:c r="A12" s="10" t="str">
        <x:v>Incorrect publication</x:v>
      </x:c>
      <x:c r="B12" s="10" t="str">
        <x:v>Status applied with a source-fidelity error or a contradictory published recipe field. A02 changes stirring to garnishing; M04 retains a peanut description after removal.</x:v>
      </x:c>
    </x:row>
    <x:row r="13" ht="39" customHeight="1">
      <x:c r="A13" s="9" t="str">
        <x:v>Incomplete plan</x:v>
      </x:c>
      <x:c r="B13" s="9" t="str">
        <x:v>The request is valid but the generated candidate remains incomplete, misordered or contradictory. Withholding it is protective but does not complete the request.</x:v>
      </x:c>
    </x:row>
    <x:row r="14" ht="39" customHeight="1">
      <x:c r="A14" s="10" t="str">
        <x:v>False rejection</x:v>
      </x:c>
      <x:c r="B14" s="10" t="str">
        <x:v>A valid request is blocked by interpretation or validation, including treating durations as ingredients or matching preparation descriptors too literally.</x:v>
      </x:c>
    </x:row>
    <x:row r="15" ht="39" customHeight="1">
      <x:c r="A15" s="9" t="str">
        <x:v>Technical failure</x:v>
      </x:c>
      <x:c r="B15" s="9" t="str">
        <x:v>Provider or validation execution did not complete. Three responses explicitly name RateLimitError; one consistency failure does not expose its underlying cause.</x:v>
      </x:c>
    </x:row>
    <x:row r="16" ht="39" customHeight="1">
      <x:c r="A16" s="10" t="str">
        <x:v>Acceptance criteria</x:v>
      </x:c>
      <x:c r="B16" s="10" t="str">
        <x:v>Zero incorrect publications; at least 95% correct first-run completion of clearly supported requests; critical regression tests pass. The live criteria were not met.</x:v>
      </x:c>
    </x:row>
    <x:row r="17" ht="39" customHeight="1">
      <x:c r="A17" s="9" t="str">
        <x:v>Supported completion</x:v>
      </x:c>
      <x:c r="B17" s="9" t="str">
        <x:v>Primary denominator is the 24 unique cases expected to apply. Repeats are reported separately to avoid overweighting five selected cases.</x:v>
      </x:c>
    </x:row>
    <x:row r="18" ht="39" customHeight="1">
      <x:c r="A18" s="10" t="str">
        <x:v>Usage coverage</x:v>
      </x:c>
      <x:c r="B18" s="10" t="str">
        <x:v>161 planning-call records and 200,933 reported planning tokens. This excludes consistency tokens and missing call records in three HTTP 502 responses. Not a full bill or dollar estimate.</x:v>
      </x:c>
    </x:row>
    <x:row r="19" ht="39" customHeight="1">
      <x:c r="A19" s="9" t="str">
        <x:v>Provider limits</x:v>
      </x:c>
      <x:c r="B19" s="9" t="str">
        <x:v>Late RateLimitError responses do not establish whether the cause is temporary throughput, account quota or another provider limit. Capacity needs confirmation before a retest.</x:v>
      </x:c>
    </x:row>
    <x:row r="20" ht="39" customHeight="1">
      <x:c r="A20" s="10" t="str">
        <x:v>Evidence</x:v>
      </x:c>
      <x:c r="B20" s="10" t="str">
        <x:v>Frozen cases.json; raw-results.json; reviewed-results.json; fault-results.json; regression-results.txt. Case IDs and run numbers identify observations.</x:v>
      </x:c>
    </x:row>
    <x:row r="21" ht="32" customHeight="1">
      <x:c r="A21" s="9" t="str">
        <x:v>API source</x:v>
      </x:c>
      <x:c r="B21" s="9" t="str">
        <x:v>http://127.0.0.1:8000/docs</x:v>
      </x:c>
    </x:row>
    <x:row r="22" ht="32" customHeight="1">
      <x:c r="A22" s="10" t="str">
        <x:v>Recipe source</x:v>
      </x:c>
      <x:c r="B22" s="10" t="str">
        <x:v>Five recipe snapshots from the application catalog: 10813, 77935, 45613, 144299, 19117.</x:v>
      </x:c>
    </x:row>
    <x:row r="23" ht="39" customHeight="1">
      <x:c r="A23" s="9" t="str">
        <x:v>Limitations</x:v>
      </x:c>
      <x:c r="B23" s="9" t="str">
        <x:v>Small agent-authored set, not independent human certification. This measures text-editing fidelity, not culinary quality, nutrition, food safety or production load capacity.</x:v>
      </x:c>
    </x:row>
    <x:row r="24" ht="39" customHeight="1">
      <x:c r="A24" s="10" t="str">
        <x:v>Next step</x:v>
      </x:c>
      <x:c r="B24" s="10" t="str">
        <x:v>Fix H01 and H02 first, then H03-H06. Diagnose O01. Add regression cases and rerun with fresh wording and repeated complex cases. Preserve this baseline.</x:v>
      </x:c>
    </x:row>
    <x:row r="25" ht="32" customHeight="1">
      <x:c r="A25" s="9" t="str">
        <x:v>Automated regression</x:v>
      </x:c>
      <x:c r="B25" s="9" t="str">
        <x:v>56 existing tests passed. Mocked tests do not consume API credits.</x:v>
      </x:c>
    </x:row>
    <x:row r="26" ht="39" customHeight="1">
      <x:c r="A26" s="10" t="str">
        <x:v>Fault injection: interpret_timeout</x:v>
      </x:c>
      <x:c r="B26" s="10" t="str">
        <x:v>Passed: true. HTTP 502; 1 mock provider calls. No enhanced recipe published. Mocked through FastAPI TestClient; not a real provider outage.</x:v>
      </x:c>
    </x:row>
    <x:row r="27" ht="39" customHeight="1">
      <x:c r="A27" s="9" t="str">
        <x:v>Fault injection: interpret_bad_json</x:v>
      </x:c>
      <x:c r="B27" s="9" t="str">
        <x:v>Passed: true. HTTP 502; 2 mock provider calls. No enhanced recipe published. Mocked through FastAPI TestClient; not a real provider outage.</x:v>
      </x:c>
    </x:row>
    <x:row r="28" ht="39" customHeight="1">
      <x:c r="A28" s="10" t="str">
        <x:v>Fault injection: fidelity_timeout</x:v>
      </x:c>
      <x:c r="B28" s="10" t="str">
        <x:v>Passed: true. HTTP 502; 3 mock provider calls. No enhanced recipe published. Mocked through FastAPI TestClient; not a real provider outage.</x:v>
      </x:c>
    </x:row>
    <x:row r="29" ht="39" customHeight="1">
      <x:c r="A29" s="9" t="str">
        <x:v>Fault injection: consistency_timeout</x:v>
      </x:c>
      <x:c r="B29" s="9" t="str">
        <x:v>Passed: true. HTTP 200; 4 mock provider calls. No enhanced recipe published. Mocked through FastAPI TestClient; not a real provider outage.</x:v>
      </x:c>
    </x:row>
    <x:row r="30" ht="39" customHeight="1">
      <x:c r="A30" s="10" t="str">
        <x:v>Fault injection: consistency_bad_json</x:v>
      </x:c>
      <x:c r="B30" s="10" t="str">
        <x:v>Passed: true. HTTP 200; 4 mock provider calls. No enhanced recipe published. Mocked through FastAPI TestClient; not a real provider outage.</x:v>
      </x:c>
    </x:row>
    <x:row r="31" ht="32" customHeight="1">
      <x:c r="A31" s="9" t="str">
        <x:v>Frozen plan SHA-256</x:v>
      </x:c>
      <x:c r="B31" s="9" t="str">
        <x:v>4e53303d9f2abf41a07ffa36fe45e84112ffc79dcd5ff25e10938670124e158f</x:v>
      </x:c>
    </x:row>
  </x:sheetData>
  <x:pageMargins left="0.7" right="0.7" top="0.75" bottom="0.75" header="0.3" footer="0.3"/>
  <x:tableParts count="1">
    <x:tablePart xmlns:r="http://schemas.openxmlformats.org/officeDocument/2006/relationships" r:id="R8a9f642e19d34cba"/>
  </x:tableParts>
</x:worksheet>
</file>